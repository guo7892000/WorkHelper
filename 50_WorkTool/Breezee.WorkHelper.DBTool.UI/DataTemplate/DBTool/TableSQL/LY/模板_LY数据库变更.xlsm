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/>
  <workbookPr filterPrivacy="1" defaultThemeVersion="124226"/>
  <xr:revisionPtr revIDLastSave="0" documentId="13_ncr:1_{0FB0A709-BCFE-4268-91B7-159DDBFBA1F2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表清单" sheetId="1" r:id="rId1"/>
    <sheet name="1.0基础数据表结构" sheetId="2" r:id="rId2"/>
    <sheet name="2.0索引(MySql)" sheetId="3" r:id="rId3"/>
    <sheet name="2.1索引(PG)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3" l="1"/>
  <c r="I6" i="3"/>
  <c r="I5" i="3"/>
  <c r="I4" i="3"/>
  <c r="I3" i="3"/>
  <c r="I7" i="4"/>
  <c r="I6" i="4"/>
  <c r="I5" i="4"/>
  <c r="I4" i="4"/>
  <c r="I3" i="4"/>
  <c r="B4" i="1"/>
  <c r="B5" i="1"/>
  <c r="B6" i="1"/>
  <c r="B7" i="1"/>
  <c r="B8" i="1"/>
  <c r="B9" i="1"/>
  <c r="B10" i="1"/>
  <c r="B11" i="1"/>
  <c r="B12" i="1"/>
  <c r="B13" i="1"/>
  <c r="B14" i="1"/>
  <c r="B15" i="1"/>
  <c r="B3" i="1"/>
  <c r="K6" i="2"/>
  <c r="N6" i="2" s="1"/>
  <c r="K5" i="2"/>
  <c r="L5" i="2" s="1"/>
  <c r="K4" i="2"/>
  <c r="P4" i="2" s="1"/>
  <c r="K3" i="2"/>
  <c r="P3" i="2" s="1"/>
  <c r="O3" i="2" l="1"/>
  <c r="M6" i="2"/>
  <c r="O6" i="2"/>
  <c r="L4" i="2"/>
  <c r="N5" i="2"/>
  <c r="P6" i="2"/>
  <c r="L3" i="2"/>
  <c r="N4" i="2"/>
  <c r="P5" i="2"/>
  <c r="M5" i="2"/>
  <c r="M4" i="2"/>
  <c r="O5" i="2"/>
  <c r="M3" i="2"/>
  <c r="O4" i="2"/>
  <c r="N3" i="2"/>
  <c r="L6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G2" authorId="0" shapeId="0" xr:uid="{00000000-0006-0000-0000-000001000000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新增表时需要填写</t>
        </r>
      </text>
    </comment>
  </commentList>
</comments>
</file>

<file path=xl/sharedStrings.xml><?xml version="1.0" encoding="utf-8"?>
<sst xmlns="http://schemas.openxmlformats.org/spreadsheetml/2006/main" count="369" uniqueCount="157">
  <si>
    <t>序号</t>
  </si>
  <si>
    <t>表名</t>
  </si>
  <si>
    <t>字段名</t>
  </si>
  <si>
    <t>索引名称</t>
  </si>
  <si>
    <t>是否唯一索引</t>
  </si>
  <si>
    <t>是否主键</t>
  </si>
  <si>
    <t>修改类型</t>
  </si>
  <si>
    <t>对应sql</t>
  </si>
  <si>
    <t>DLR_ID,CREATED_DATE,ACCOUNT_INFO_CODE</t>
    <phoneticPr fontId="1" type="noConversion"/>
  </si>
  <si>
    <t>IDX_DLR3</t>
    <phoneticPr fontId="1" type="noConversion"/>
  </si>
  <si>
    <t>否</t>
  </si>
  <si>
    <t>新增</t>
  </si>
  <si>
    <t>ACCOUNT_INFO_CODE,MODULE_CODE</t>
    <phoneticPr fontId="1" type="noConversion"/>
  </si>
  <si>
    <t>UK_ACCOUNT_INFO_CODE2</t>
    <phoneticPr fontId="1" type="noConversion"/>
  </si>
  <si>
    <t>是</t>
    <phoneticPr fontId="1" type="noConversion"/>
  </si>
  <si>
    <t>CREATED_DATE</t>
    <phoneticPr fontId="1" type="noConversion"/>
  </si>
  <si>
    <t>IDX_CREATED_DATE</t>
    <phoneticPr fontId="1" type="noConversion"/>
  </si>
  <si>
    <t>LAST_UPDATED_DATE</t>
  </si>
  <si>
    <t>IDX_LAST_UPDATED_DATE</t>
  </si>
  <si>
    <t>INTERFACE_UPDATE_DATE</t>
  </si>
  <si>
    <t>IDX_INTERFACE_UPDATE_DATE</t>
    <phoneticPr fontId="8" type="noConversion"/>
  </si>
  <si>
    <t>序号</t>
    <phoneticPr fontId="8" type="noConversion"/>
  </si>
  <si>
    <t>列名称</t>
    <phoneticPr fontId="8" type="noConversion"/>
  </si>
  <si>
    <t>列编码</t>
  </si>
  <si>
    <t>类型</t>
    <phoneticPr fontId="8" type="noConversion"/>
  </si>
  <si>
    <t>长度</t>
    <phoneticPr fontId="8" type="noConversion"/>
  </si>
  <si>
    <t>键</t>
  </si>
  <si>
    <t>必填</t>
    <phoneticPr fontId="8" type="noConversion"/>
  </si>
  <si>
    <t>默认值</t>
    <phoneticPr fontId="8" type="noConversion"/>
  </si>
  <si>
    <t>备注</t>
    <phoneticPr fontId="8" type="noConversion"/>
  </si>
  <si>
    <t>变更类型</t>
    <phoneticPr fontId="8" type="noConversion"/>
  </si>
  <si>
    <t>匹配编码标准
(ID暂除外)</t>
  </si>
  <si>
    <t>类型是否符合</t>
  </si>
  <si>
    <t>长度精度是否符合</t>
  </si>
  <si>
    <t>判断整体是否符合</t>
    <phoneticPr fontId="8" type="noConversion"/>
  </si>
  <si>
    <t>标准名称</t>
  </si>
  <si>
    <t>参考长度精度</t>
  </si>
  <si>
    <t>数据组评审建议</t>
    <phoneticPr fontId="8" type="noConversion"/>
  </si>
  <si>
    <t>原字段</t>
    <phoneticPr fontId="8" type="noConversion"/>
  </si>
  <si>
    <t>原中文名</t>
    <phoneticPr fontId="8" type="noConversion"/>
  </si>
  <si>
    <t>=IF(OR(C3="",C3="列编码"),"",IF(IFERROR(FIND("_ID",C3),0),"ID字段",IFERROR(VLOOKUP(C3,基础数据标准!G:G,1,FALSE),IFERROR(VLOOKUP(C3,常用类标准!G:G,1,FALSE),IFERROR(VLOOKUP(IFERROR(MID(C3,FIND("@",SUBSTITUTE($C3,"_","@",1))+1,LEN(C3)),""),基础数据标准!G:G,1,FALSE),IFERROR(VLOOKUP(IFERROR(MID(C3,FIND("@",SUBSTITUTE($C3,"_","@",1))+1,LEN(C3)),""),常用类标准!G:G,1,FALSE),IFERROR(VLOOKUP(IFERROR(MID(C3,FIND("@",SUBSTITUTE($C3,"_","@",2))+1,LEN(C3)),""),基础数据标准!G:G,1,FALSE),IFERROR(VLOOKUP(IFERROR(MID(C3,FIND("@",SUBSTITUTE($C3,"_","@",2))+1,LEN(C3)),""),常用类标准!G:G,1,FALSE),IFERROR(VLOOKUP(IFERROR(MID(C3,FIND("@",SUBSTITUTE($C3,"_","@",3))+1,LEN(C3)),""),基础数据标准!G:G,1,FALSE),IFERROR(VLOOKUP(IFERROR(MID(C3,FIND("@",SUBSTITUTE($C3,"_","@",3))+1,LEN(C3)),""),常用类标准!G:G,1,FALSE),IFERROR(VLOOKUP(IFERROR(MID(C3,FIND("@",SUBSTITUTE($C3,"_","@",4))+1,LEN(C3)),""),基础数据标准!G:G,1,FALSE),IFERROR(VLOOKUP(IFERROR(MID(C3,FIND("@",SUBSTITUTE($C3,"_","@",4))+1,LEN(C3)),""),常用类标准!G:G,1,FALSE),IFERROR(VLOOKUP(IFERROR(MID(C3,FIND("@",SUBSTITUTE($C3,"_","@",5))+1,LEN(C3)),""),基础数据标准!G:G,1,FALSE),IFERROR(VLOOKUP(IFERROR(MID(C3,FIND("@",SUBSTITUTE($C3,"_","@",5))+1,LEN(C3)),""),常用类标准!G:G,1,FALSE),"不匹配"))))))))))))))</t>
    <phoneticPr fontId="8" type="noConversion"/>
  </si>
  <si>
    <t>=IF(OR(K3="",K3="ID字段"),"",IF(K3="不匹配","不符合",IF(IFERROR(LEFT(D3,FIND("(",D3)-1),D3)=VLOOKUP(K3,附件01_基础数据标准匹配!B:V,3,FALSE),"符合",IF((IFERROR(LEFT(D3,FIND("(",D3)-1),D3)="DATE")*(VLOOKUP(K3,附件01_基础数据标准匹配!B:V,9,FALSE)="日期时间类"),"符合","不符合"))))</t>
  </si>
  <si>
    <t>=IF(OR(K3="",K3="ID字段"),"",IF(K3="不匹配","不符合",IF(D3=VLOOKUP(K3,附件01_基础数据标准匹配!B:V,6,FALSE),"符合",IF((IFERROR(LEFT(D3,FIND("(",D3)-1),D3)="DATE")*(VLOOKUP(K3,附件01_基础数据标准匹配!B:V,9,FALSE)="日期时间类"),"符合","不符合"))))</t>
    <phoneticPr fontId="8" type="noConversion"/>
  </si>
  <si>
    <t>=IF(OR(K3="",K3="ID字段"),"",IF(K3="不匹配","编码无对应标准",IF(L3="符合",IF(M3="符合","符合","长度精度不符合"),"类型不符合")))</t>
  </si>
  <si>
    <t>=IF(OR(K3="",K3="ID字段"),"",IF(K3="不匹配","不符合",VLOOKUP(K3,附件01_基础数据标准匹配!B:V,2,FALSE)))</t>
  </si>
  <si>
    <t>=IF(OR(K3="",K3="ID字段"),"",IF(K3="不匹配","不符合",VLOOKUP(K3,附件01_基础数据标准匹配!B:V,6,FALSE)))</t>
  </si>
  <si>
    <t>表名称: 示例表1</t>
    <phoneticPr fontId="8" type="noConversion"/>
  </si>
  <si>
    <t>表编码: t_fms_ven_db_account_brand</t>
    <phoneticPr fontId="8" type="noConversion"/>
  </si>
  <si>
    <t>变更类型:</t>
  </si>
  <si>
    <t>创建表</t>
  </si>
  <si>
    <t xml:space="preserve">约束说明: </t>
    <phoneticPr fontId="8" type="noConversion"/>
  </si>
  <si>
    <t>类型</t>
  </si>
  <si>
    <t>列长度</t>
  </si>
  <si>
    <t>键</t>
    <phoneticPr fontId="8" type="noConversion"/>
  </si>
  <si>
    <t>是否必填</t>
  </si>
  <si>
    <t>默认值</t>
  </si>
  <si>
    <t>列备注</t>
  </si>
  <si>
    <t>变更类型</t>
  </si>
  <si>
    <t>账户品牌ID</t>
  </si>
  <si>
    <t>ACCOUNT_BRAND_ID</t>
  </si>
  <si>
    <t>varchar(36)</t>
  </si>
  <si>
    <t>PK</t>
  </si>
  <si>
    <t>是</t>
  </si>
  <si>
    <t>专营店ID</t>
  </si>
  <si>
    <t>DLR_ID</t>
  </si>
  <si>
    <t>专营店简称</t>
  </si>
  <si>
    <t>DLR_SHORT_NAME</t>
  </si>
  <si>
    <t>varchar(50)</t>
  </si>
  <si>
    <t>账户编码</t>
  </si>
  <si>
    <t>ACCOUNT_INFO_CODE</t>
    <phoneticPr fontId="8" type="noConversion"/>
  </si>
  <si>
    <t>账户信息名称</t>
  </si>
  <si>
    <t>ACCOUNT_INFO_NAME</t>
  </si>
  <si>
    <t>模块编码</t>
    <phoneticPr fontId="8" type="noConversion"/>
  </si>
  <si>
    <t>MODULE_CODE</t>
    <phoneticPr fontId="8" type="noConversion"/>
  </si>
  <si>
    <t>varchar(20)</t>
  </si>
  <si>
    <t>执行状态 0:未执行,1:已执行</t>
    <phoneticPr fontId="1" type="noConversion"/>
  </si>
  <si>
    <t>ACTIVE_STATE</t>
    <phoneticPr fontId="8" type="noConversion"/>
  </si>
  <si>
    <t>VARCHAR(2)</t>
  </si>
  <si>
    <t>回访活动类型大类VE0063</t>
    <phoneticPr fontId="1" type="noConversion"/>
  </si>
  <si>
    <t>REVIEW_ACTION_BIG_TYPE</t>
  </si>
  <si>
    <t>VARCHAR(10)</t>
    <phoneticPr fontId="1" type="noConversion"/>
  </si>
  <si>
    <t>回访活动类型小类VE0062</t>
    <phoneticPr fontId="1" type="noConversion"/>
  </si>
  <si>
    <t>REVIEW_ACTION_SMALL_TYPE</t>
    <phoneticPr fontId="8" type="noConversion"/>
  </si>
  <si>
    <t>小数列1</t>
    <phoneticPr fontId="1" type="noConversion"/>
  </si>
  <si>
    <t>DECIMAL1</t>
    <phoneticPr fontId="8" type="noConversion"/>
  </si>
  <si>
    <t>decimal(18,6)</t>
    <phoneticPr fontId="8" type="noConversion"/>
  </si>
  <si>
    <t>整数列2</t>
    <phoneticPr fontId="1" type="noConversion"/>
  </si>
  <si>
    <t>INT1</t>
    <phoneticPr fontId="8" type="noConversion"/>
  </si>
  <si>
    <t>int</t>
    <phoneticPr fontId="8" type="noConversion"/>
  </si>
  <si>
    <t>厂商标识ID</t>
  </si>
  <si>
    <t>OEM_ID</t>
  </si>
  <si>
    <t>集团标识ID</t>
  </si>
  <si>
    <t>GROUP_ID</t>
  </si>
  <si>
    <t>品牌编码</t>
  </si>
  <si>
    <t>CAR_BRAND_CODE</t>
    <phoneticPr fontId="8" type="noConversion"/>
  </si>
  <si>
    <t>INDEX</t>
  </si>
  <si>
    <t>品牌名称</t>
  </si>
  <si>
    <t>CAR_BRAND_CN</t>
  </si>
  <si>
    <t>创建人</t>
  </si>
  <si>
    <t>CREATOR</t>
  </si>
  <si>
    <t>创建人姓名</t>
  </si>
  <si>
    <t>CREATOR_NAME</t>
  </si>
  <si>
    <t>创建时间</t>
  </si>
  <si>
    <t>CREATED_DATE</t>
  </si>
  <si>
    <t>datetime</t>
  </si>
  <si>
    <t>CURRENT_TIMESTAMP</t>
  </si>
  <si>
    <t>最后更新人员</t>
  </si>
  <si>
    <t>MODIFIER</t>
  </si>
  <si>
    <t>最后更新人员姓名</t>
  </si>
  <si>
    <t>MODIFIER_NAME</t>
  </si>
  <si>
    <t>最后更新时间</t>
  </si>
  <si>
    <t>是否可用</t>
  </si>
  <si>
    <t>IS_ENABLE</t>
  </si>
  <si>
    <t>varchar(2)</t>
  </si>
  <si>
    <t>SDP用户ID</t>
  </si>
  <si>
    <t>SDP_USER_ID</t>
  </si>
  <si>
    <t>并发控制字段</t>
  </si>
  <si>
    <t>UPDATE_CONTROL_ID</t>
  </si>
  <si>
    <t>增量接口更新时间戳</t>
  </si>
  <si>
    <t>'1900-01-01 00:00:00'</t>
    <phoneticPr fontId="8" type="noConversion"/>
  </si>
  <si>
    <t>组织品牌编码</t>
  </si>
  <si>
    <t>ORG_CAR_BRAND_CODE</t>
    <phoneticPr fontId="1" type="noConversion"/>
  </si>
  <si>
    <t>组织品牌名称</t>
  </si>
  <si>
    <t>ORG_CAR_BRAND_CN</t>
  </si>
  <si>
    <t xml:space="preserve"> '东风日产-日产'</t>
    <phoneticPr fontId="8" type="noConversion"/>
  </si>
  <si>
    <t>数据来源</t>
    <phoneticPr fontId="8" type="noConversion"/>
  </si>
  <si>
    <t>DATA_SOURCE</t>
    <phoneticPr fontId="8" type="noConversion"/>
  </si>
  <si>
    <t>E3S</t>
    <phoneticPr fontId="8" type="noConversion"/>
  </si>
  <si>
    <t>表名称: 销售车</t>
    <phoneticPr fontId="8" type="noConversion"/>
  </si>
  <si>
    <t>表编码: t_oms_ven_bu_dlr_car_sale</t>
    <phoneticPr fontId="8" type="noConversion"/>
  </si>
  <si>
    <t>修改表</t>
  </si>
  <si>
    <t>约束说明:</t>
  </si>
  <si>
    <t>列名称</t>
  </si>
  <si>
    <t>预交车时间</t>
  </si>
  <si>
    <t>PRE_DELIVER_DATE</t>
  </si>
  <si>
    <t>DATETIME</t>
  </si>
  <si>
    <t>删除</t>
  </si>
  <si>
    <t>PRE_DELIVERY_DATE</t>
    <phoneticPr fontId="8" type="noConversion"/>
  </si>
  <si>
    <t>表名称: 销售订单明细</t>
    <phoneticPr fontId="8" type="noConversion"/>
  </si>
  <si>
    <t>表编码: t_oms_ven_bu_sale_order_d</t>
    <phoneticPr fontId="8" type="noConversion"/>
  </si>
  <si>
    <t>验收入库时间</t>
    <phoneticPr fontId="8" type="noConversion"/>
  </si>
  <si>
    <t>CHECK_IN_STORE_DATE</t>
    <phoneticPr fontId="8" type="noConversion"/>
  </si>
  <si>
    <t>修改</t>
  </si>
  <si>
    <t>销售出库时间</t>
    <phoneticPr fontId="8" type="noConversion"/>
  </si>
  <si>
    <t>SALE_OUT_STORE_DATE</t>
    <phoneticPr fontId="8" type="noConversion"/>
  </si>
  <si>
    <t>表名称: 销售订单明细热表</t>
    <phoneticPr fontId="8" type="noConversion"/>
  </si>
  <si>
    <t>表编码: t_oms_ven_bu_sale_order_d_hot</t>
    <phoneticPr fontId="8" type="noConversion"/>
  </si>
  <si>
    <t>序号</t>
    <phoneticPr fontId="1" type="noConversion"/>
  </si>
  <si>
    <t>库名</t>
    <phoneticPr fontId="1" type="noConversion"/>
  </si>
  <si>
    <t>中心名称</t>
    <phoneticPr fontId="1" type="noConversion"/>
  </si>
  <si>
    <t>业务模块</t>
    <phoneticPr fontId="1" type="noConversion"/>
  </si>
  <si>
    <t>表名</t>
    <phoneticPr fontId="1" type="noConversion"/>
  </si>
  <si>
    <t>表编码</t>
    <phoneticPr fontId="1" type="noConversion"/>
  </si>
  <si>
    <t>原E3S表</t>
    <phoneticPr fontId="8" type="noConversion"/>
  </si>
  <si>
    <t>表类型</t>
    <phoneticPr fontId="8" type="noConversion"/>
  </si>
  <si>
    <t>负责人</t>
    <phoneticPr fontId="8" type="noConversion"/>
  </si>
  <si>
    <t>状态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</si>
</sst>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/m/d;@"/>
  </numFmts>
  <fonts count="26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name val="Helv"/>
      <family val="2"/>
    </font>
    <font>
      <b/>
      <sz val="9"/>
      <name val="微软雅黑"/>
      <family val="2"/>
      <charset val="134"/>
    </font>
    <font>
      <sz val="9"/>
      <name val="微软雅黑"/>
      <family val="2"/>
      <charset val="134"/>
    </font>
    <font>
      <sz val="12"/>
      <name val="宋体"/>
      <family val="3"/>
      <charset val="134"/>
    </font>
    <font>
      <sz val="9"/>
      <color theme="1"/>
      <name val="微软雅黑"/>
      <family val="2"/>
      <charset val="134"/>
    </font>
    <font>
      <sz val="9"/>
      <color indexed="8"/>
      <name val="微软雅黑"/>
      <family val="2"/>
      <charset val="134"/>
    </font>
    <font>
      <sz val="9"/>
      <name val="宋体"/>
      <family val="3"/>
      <charset val="134"/>
    </font>
    <font>
      <sz val="9"/>
      <name val="Microsoft YaHei UI"/>
      <family val="2"/>
      <charset val="134"/>
    </font>
    <font>
      <b/>
      <sz val="9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i/>
      <sz val="9"/>
      <color indexed="23"/>
      <name val="微软雅黑"/>
      <family val="2"/>
      <charset val="134"/>
    </font>
    <font>
      <i/>
      <sz val="9"/>
      <color theme="0" tint="-0.499984740745262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indexed="8"/>
      <name val="微软雅黑"/>
      <family val="2"/>
      <charset val="134"/>
    </font>
    <font>
      <sz val="11"/>
      <name val="宋体"/>
      <family val="3"/>
      <charset val="134"/>
    </font>
    <font>
      <sz val="10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rgb="FFFF0000"/>
      <name val="微软雅黑"/>
      <family val="2"/>
      <charset val="134"/>
    </font>
    <font>
      <b/>
      <sz val="11"/>
      <color rgb="FF000000"/>
      <name val="微软雅黑"/>
      <family val="2"/>
      <charset val="134"/>
    </font>
    <font>
      <b/>
      <sz val="9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8E6B8"/>
        <bgColor indexed="64"/>
      </patternFill>
    </fill>
    <fill>
      <patternFill patternType="solid">
        <fgColor rgb="FF7DADFB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7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1" fillId="0" borderId="0">
      <alignment vertical="center"/>
    </xf>
    <xf numFmtId="0" fontId="11" fillId="0" borderId="0">
      <alignment vertical="center"/>
    </xf>
    <xf numFmtId="0" fontId="20" fillId="0" borderId="0">
      <alignment vertical="center"/>
    </xf>
  </cellStyleXfs>
  <cellXfs count="75">
    <xf numFmtId="0" fontId="0" fillId="0" borderId="0" xfId="0"/>
    <xf numFmtId="176" fontId="3" fillId="2" borderId="1" xfId="1" applyNumberFormat="1" applyFont="1" applyFill="1" applyBorder="1" applyAlignment="1">
      <alignment horizontal="center" vertical="center" wrapText="1"/>
    </xf>
    <xf numFmtId="176" fontId="3" fillId="2" borderId="1" xfId="1" applyNumberFormat="1" applyFont="1" applyFill="1" applyBorder="1" applyAlignment="1">
      <alignment horizontal="center" vertical="top" wrapText="1"/>
    </xf>
    <xf numFmtId="0" fontId="4" fillId="0" borderId="0" xfId="0" applyFont="1"/>
    <xf numFmtId="0" fontId="4" fillId="0" borderId="1" xfId="0" applyFont="1" applyBorder="1"/>
    <xf numFmtId="0" fontId="6" fillId="0" borderId="1" xfId="2" applyFont="1" applyBorder="1" applyAlignment="1">
      <alignment horizontal="left" vertical="center"/>
    </xf>
    <xf numFmtId="0" fontId="7" fillId="0" borderId="1" xfId="2" applyFont="1" applyBorder="1" applyAlignment="1">
      <alignment horizontal="left" vertical="top" wrapText="1"/>
    </xf>
    <xf numFmtId="0" fontId="7" fillId="0" borderId="1" xfId="2" applyFont="1" applyBorder="1" applyAlignment="1">
      <alignment wrapText="1"/>
    </xf>
    <xf numFmtId="0" fontId="8" fillId="0" borderId="1" xfId="0" applyFont="1" applyBorder="1"/>
    <xf numFmtId="0" fontId="4" fillId="0" borderId="1" xfId="0" applyFont="1" applyBorder="1" applyAlignment="1">
      <alignment vertical="top"/>
    </xf>
    <xf numFmtId="0" fontId="6" fillId="0" borderId="1" xfId="2" applyFont="1" applyBorder="1" applyAlignment="1">
      <alignment wrapText="1"/>
    </xf>
    <xf numFmtId="0" fontId="9" fillId="3" borderId="1" xfId="0" applyFont="1" applyFill="1" applyBorder="1"/>
    <xf numFmtId="0" fontId="8" fillId="3" borderId="1" xfId="0" applyFont="1" applyFill="1" applyBorder="1"/>
    <xf numFmtId="0" fontId="4" fillId="3" borderId="1" xfId="0" applyFont="1" applyFill="1" applyBorder="1" applyAlignment="1">
      <alignment vertical="center"/>
    </xf>
    <xf numFmtId="0" fontId="8" fillId="3" borderId="0" xfId="0" applyFont="1" applyFill="1"/>
    <xf numFmtId="0" fontId="6" fillId="0" borderId="1" xfId="3" applyFont="1" applyBorder="1" applyAlignment="1">
      <alignment horizontal="center" vertical="center"/>
    </xf>
    <xf numFmtId="0" fontId="7" fillId="0" borderId="1" xfId="2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/>
    </xf>
    <xf numFmtId="0" fontId="10" fillId="4" borderId="2" xfId="0" applyFont="1" applyFill="1" applyBorder="1" applyAlignment="1">
      <alignment horizontal="center" vertical="center" wrapText="1"/>
    </xf>
    <xf numFmtId="0" fontId="10" fillId="5" borderId="0" xfId="4" applyFont="1" applyFill="1" applyAlignment="1">
      <alignment horizontal="left" vertical="center" wrapText="1"/>
    </xf>
    <xf numFmtId="0" fontId="10" fillId="6" borderId="0" xfId="4" applyFont="1" applyFill="1" applyAlignment="1">
      <alignment horizontal="left" vertical="center"/>
    </xf>
    <xf numFmtId="0" fontId="3" fillId="3" borderId="0" xfId="0" applyFont="1" applyFill="1" applyAlignment="1">
      <alignment vertical="center"/>
    </xf>
    <xf numFmtId="0" fontId="10" fillId="7" borderId="0" xfId="4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2" fillId="8" borderId="0" xfId="0" quotePrefix="1" applyFont="1" applyFill="1" applyAlignment="1">
      <alignment horizontal="left" vertical="center"/>
    </xf>
    <xf numFmtId="0" fontId="13" fillId="9" borderId="0" xfId="0" quotePrefix="1" applyFont="1" applyFill="1" applyAlignment="1">
      <alignment horizontal="left" vertical="center"/>
    </xf>
    <xf numFmtId="0" fontId="14" fillId="10" borderId="1" xfId="0" applyFont="1" applyFill="1" applyBorder="1"/>
    <xf numFmtId="0" fontId="14" fillId="10" borderId="1" xfId="0" applyFont="1" applyFill="1" applyBorder="1" applyAlignment="1">
      <alignment horizontal="left"/>
    </xf>
    <xf numFmtId="0" fontId="14" fillId="9" borderId="1" xfId="0" applyFont="1" applyFill="1" applyBorder="1"/>
    <xf numFmtId="0" fontId="4" fillId="0" borderId="1" xfId="0" applyFont="1" applyBorder="1" applyAlignment="1">
      <alignment horizontal="left" vertical="center"/>
    </xf>
    <xf numFmtId="0" fontId="4" fillId="0" borderId="1" xfId="0" quotePrefix="1" applyFont="1" applyBorder="1" applyAlignment="1">
      <alignment horizontal="left" vertical="center"/>
    </xf>
    <xf numFmtId="0" fontId="14" fillId="0" borderId="1" xfId="0" applyFont="1" applyBorder="1" applyAlignment="1">
      <alignment horizontal="right" vertical="top"/>
    </xf>
    <xf numFmtId="0" fontId="14" fillId="0" borderId="1" xfId="0" applyFont="1" applyBorder="1" applyAlignment="1">
      <alignment horizontal="left" vertical="top"/>
    </xf>
    <xf numFmtId="0" fontId="15" fillId="0" borderId="1" xfId="0" applyFont="1" applyBorder="1"/>
    <xf numFmtId="0" fontId="15" fillId="0" borderId="1" xfId="0" quotePrefix="1" applyFont="1" applyBorder="1" applyAlignment="1">
      <alignment horizontal="left" vertical="center"/>
    </xf>
    <xf numFmtId="0" fontId="15" fillId="0" borderId="1" xfId="0" applyFont="1" applyBorder="1" applyAlignment="1">
      <alignment horizontal="left" vertical="center"/>
    </xf>
    <xf numFmtId="0" fontId="15" fillId="0" borderId="0" xfId="0" applyFont="1"/>
    <xf numFmtId="0" fontId="15" fillId="0" borderId="3" xfId="0" applyFont="1" applyBorder="1"/>
    <xf numFmtId="0" fontId="14" fillId="0" borderId="1" xfId="2" applyFont="1" applyBorder="1" applyAlignment="1">
      <alignment horizontal="left" vertical="top" wrapText="1"/>
    </xf>
    <xf numFmtId="0" fontId="14" fillId="0" borderId="1" xfId="2" applyFont="1" applyBorder="1" applyAlignment="1">
      <alignment horizontal="left" vertical="top"/>
    </xf>
    <xf numFmtId="0" fontId="16" fillId="0" borderId="4" xfId="0" applyFont="1" applyBorder="1" applyAlignment="1">
      <alignment horizontal="left" vertical="top"/>
    </xf>
    <xf numFmtId="0" fontId="17" fillId="0" borderId="1" xfId="2" applyFont="1" applyBorder="1" applyAlignment="1">
      <alignment horizontal="left" vertical="top"/>
    </xf>
    <xf numFmtId="0" fontId="14" fillId="0" borderId="1" xfId="5" applyFont="1" applyBorder="1" applyAlignment="1">
      <alignment horizontal="left" vertical="top"/>
    </xf>
    <xf numFmtId="16" fontId="14" fillId="0" borderId="1" xfId="5" applyNumberFormat="1" applyFont="1" applyBorder="1" applyAlignment="1">
      <alignment horizontal="left" vertical="top"/>
    </xf>
    <xf numFmtId="0" fontId="14" fillId="3" borderId="1" xfId="0" applyFont="1" applyFill="1" applyBorder="1"/>
    <xf numFmtId="0" fontId="14" fillId="3" borderId="1" xfId="0" applyFont="1" applyFill="1" applyBorder="1" applyAlignment="1">
      <alignment horizontal="left"/>
    </xf>
    <xf numFmtId="0" fontId="18" fillId="0" borderId="1" xfId="0" applyFont="1" applyBorder="1" applyAlignment="1">
      <alignment vertical="center"/>
    </xf>
    <xf numFmtId="22" fontId="14" fillId="3" borderId="1" xfId="0" quotePrefix="1" applyNumberFormat="1" applyFont="1" applyFill="1" applyBorder="1" applyAlignment="1">
      <alignment horizontal="left"/>
    </xf>
    <xf numFmtId="0" fontId="19" fillId="11" borderId="1" xfId="0" applyFont="1" applyFill="1" applyBorder="1" applyAlignment="1">
      <alignment horizontal="center" vertical="center"/>
    </xf>
    <xf numFmtId="0" fontId="19" fillId="11" borderId="1" xfId="6" applyFont="1" applyFill="1" applyBorder="1" applyAlignment="1">
      <alignment horizontal="left" vertical="center"/>
    </xf>
    <xf numFmtId="0" fontId="19" fillId="0" borderId="1" xfId="0" applyFont="1" applyBorder="1" applyAlignment="1">
      <alignment horizontal="center" vertical="center"/>
    </xf>
    <xf numFmtId="0" fontId="21" fillId="0" borderId="1" xfId="0" applyFont="1" applyBorder="1"/>
    <xf numFmtId="0" fontId="16" fillId="0" borderId="5" xfId="0" applyFont="1" applyBorder="1" applyAlignment="1">
      <alignment vertical="center"/>
    </xf>
    <xf numFmtId="0" fontId="22" fillId="0" borderId="5" xfId="0" applyFont="1" applyBorder="1" applyAlignment="1">
      <alignment vertical="center"/>
    </xf>
    <xf numFmtId="0" fontId="22" fillId="0" borderId="5" xfId="0" applyFont="1" applyBorder="1" applyAlignment="1">
      <alignment horizontal="left" vertical="center"/>
    </xf>
    <xf numFmtId="0" fontId="16" fillId="9" borderId="5" xfId="0" applyFont="1" applyFill="1" applyBorder="1"/>
    <xf numFmtId="0" fontId="18" fillId="0" borderId="0" xfId="0" applyFont="1"/>
    <xf numFmtId="0" fontId="16" fillId="12" borderId="1" xfId="0" applyFont="1" applyFill="1" applyBorder="1" applyAlignment="1">
      <alignment vertical="center"/>
    </xf>
    <xf numFmtId="0" fontId="16" fillId="0" borderId="1" xfId="0" applyFont="1" applyBorder="1"/>
    <xf numFmtId="0" fontId="16" fillId="0" borderId="1" xfId="0" applyFont="1" applyBorder="1" applyAlignment="1">
      <alignment horizontal="right"/>
    </xf>
    <xf numFmtId="0" fontId="16" fillId="0" borderId="1" xfId="0" quotePrefix="1" applyFont="1" applyBorder="1"/>
    <xf numFmtId="0" fontId="18" fillId="0" borderId="0" xfId="0" applyFont="1" applyAlignment="1">
      <alignment horizontal="center"/>
    </xf>
    <xf numFmtId="0" fontId="18" fillId="0" borderId="0" xfId="0" applyFont="1" applyAlignment="1">
      <alignment wrapText="1"/>
    </xf>
    <xf numFmtId="0" fontId="23" fillId="3" borderId="1" xfId="2" applyFont="1" applyFill="1" applyBorder="1" applyAlignment="1">
      <alignment horizontal="center" vertical="center"/>
    </xf>
    <xf numFmtId="0" fontId="23" fillId="3" borderId="1" xfId="2" applyFont="1" applyFill="1" applyBorder="1" applyAlignment="1">
      <alignment horizontal="center" vertical="top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18" fillId="0" borderId="1" xfId="0" applyFont="1" applyBorder="1"/>
    <xf numFmtId="0" fontId="4" fillId="0" borderId="1" xfId="2" applyFont="1" applyBorder="1" applyAlignment="1">
      <alignment horizontal="center" vertical="center"/>
    </xf>
    <xf numFmtId="0" fontId="4" fillId="0" borderId="1" xfId="3" applyFont="1" applyBorder="1" applyAlignment="1">
      <alignment horizontal="center" vertical="center"/>
    </xf>
    <xf numFmtId="0" fontId="4" fillId="11" borderId="1" xfId="0" applyFont="1" applyFill="1" applyBorder="1" applyAlignment="1">
      <alignment horizontal="center" vertical="center"/>
    </xf>
    <xf numFmtId="0" fontId="4" fillId="11" borderId="1" xfId="2" applyFont="1" applyFill="1" applyBorder="1" applyAlignment="1">
      <alignment horizontal="center" vertical="center"/>
    </xf>
  </cellXfs>
  <cellStyles count="7">
    <cellStyle name="常规" xfId="0" builtinId="0"/>
    <cellStyle name="常规 10" xfId="5" xr:uid="{00000000-0005-0000-0000-000001000000}"/>
    <cellStyle name="常规 2" xfId="2" xr:uid="{00000000-0005-0000-0000-000002000000}"/>
    <cellStyle name="常规 2 16" xfId="6" xr:uid="{00000000-0005-0000-0000-000003000000}"/>
    <cellStyle name="常规 2 18" xfId="4" xr:uid="{00000000-0005-0000-0000-000004000000}"/>
    <cellStyle name="常规 2 3" xfId="3" xr:uid="{00000000-0005-0000-0000-000005000000}"/>
    <cellStyle name="常规_数据库变更记录_090415客户" xfId="1" xr:uid="{00000000-0005-0000-0000-000006000000}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1257300</xdr:colOff>
      <xdr:row>15</xdr:row>
      <xdr:rowOff>66675</xdr:rowOff>
    </xdr:from>
    <xdr:ext cx="184731" cy="264560"/>
    <xdr:sp macro="" textlink="">
      <xdr:nvSpPr>
        <xdr:cNvPr id="2" name="文本框 8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5943600" y="2781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K15"/>
  <sheetViews>
    <sheetView showGridLines="0" workbookViewId="0">
      <selection activeCell="D12" sqref="D12"/>
    </sheetView>
  </sheetViews>
  <sheetFormatPr defaultColWidth="9" defaultRowHeight="14.25" x14ac:dyDescent="0.3"/>
  <cols>
    <col min="1" max="1" width="3.875" style="3" customWidth="1"/>
    <col min="2" max="2" width="6.625" style="3" customWidth="1"/>
    <col min="3" max="3" width="11.125" style="3" customWidth="1"/>
    <col min="4" max="4" width="8.125" style="3" customWidth="1"/>
    <col min="5" max="5" width="14.625" style="3" customWidth="1"/>
    <col min="6" max="6" width="17.125" style="3" bestFit="1" customWidth="1"/>
    <col min="7" max="7" width="33.125" style="3" bestFit="1" customWidth="1"/>
    <col min="8" max="8" width="31" style="17" customWidth="1"/>
    <col min="9" max="10" width="9" style="17"/>
    <col min="11" max="16384" width="9" style="3"/>
  </cols>
  <sheetData>
    <row r="2" spans="2:11" x14ac:dyDescent="0.3">
      <c r="B2" s="66" t="s">
        <v>147</v>
      </c>
      <c r="C2" s="67" t="s">
        <v>148</v>
      </c>
      <c r="D2" s="67" t="s">
        <v>149</v>
      </c>
      <c r="E2" s="67" t="s">
        <v>150</v>
      </c>
      <c r="F2" s="66" t="s">
        <v>151</v>
      </c>
      <c r="G2" s="66" t="s">
        <v>152</v>
      </c>
      <c r="H2" s="66" t="s">
        <v>153</v>
      </c>
      <c r="I2" s="66" t="s">
        <v>154</v>
      </c>
      <c r="J2" s="66" t="s">
        <v>155</v>
      </c>
      <c r="K2" s="66" t="s">
        <v>156</v>
      </c>
    </row>
    <row r="3" spans="2:11" x14ac:dyDescent="0.3">
      <c r="B3" s="71">
        <f>ROW()-2</f>
        <v>1</v>
      </c>
      <c r="C3" s="68"/>
      <c r="D3" s="68"/>
      <c r="E3" s="71"/>
      <c r="F3" s="72"/>
      <c r="G3" s="72"/>
      <c r="H3" s="72"/>
      <c r="I3" s="68"/>
      <c r="J3" s="68"/>
      <c r="K3" s="4"/>
    </row>
    <row r="4" spans="2:11" x14ac:dyDescent="0.3">
      <c r="B4" s="71">
        <f t="shared" ref="B4:B15" si="0">ROW()-2</f>
        <v>2</v>
      </c>
      <c r="C4" s="68"/>
      <c r="D4" s="68"/>
      <c r="E4" s="68"/>
      <c r="F4" s="68"/>
      <c r="G4" s="68"/>
      <c r="H4" s="68"/>
      <c r="I4" s="68"/>
      <c r="J4" s="68"/>
      <c r="K4" s="4"/>
    </row>
    <row r="5" spans="2:11" x14ac:dyDescent="0.3">
      <c r="B5" s="71">
        <f t="shared" si="0"/>
        <v>3</v>
      </c>
      <c r="C5" s="68"/>
      <c r="D5" s="73"/>
      <c r="E5" s="74"/>
      <c r="F5" s="72"/>
      <c r="G5" s="72"/>
      <c r="H5" s="72"/>
      <c r="I5" s="68"/>
      <c r="J5" s="68"/>
      <c r="K5" s="4"/>
    </row>
    <row r="6" spans="2:11" x14ac:dyDescent="0.3">
      <c r="B6" s="71">
        <f t="shared" si="0"/>
        <v>4</v>
      </c>
      <c r="C6" s="68"/>
      <c r="D6" s="73"/>
      <c r="E6" s="74"/>
      <c r="F6" s="72"/>
      <c r="G6" s="72"/>
      <c r="H6" s="72"/>
      <c r="I6" s="68"/>
      <c r="J6" s="68"/>
      <c r="K6" s="4"/>
    </row>
    <row r="7" spans="2:11" x14ac:dyDescent="0.3">
      <c r="B7" s="71">
        <f t="shared" si="0"/>
        <v>5</v>
      </c>
      <c r="C7" s="68"/>
      <c r="D7" s="73"/>
      <c r="E7" s="74"/>
      <c r="F7" s="72"/>
      <c r="G7" s="72"/>
      <c r="H7" s="72"/>
      <c r="I7" s="68"/>
      <c r="J7" s="68"/>
      <c r="K7" s="4"/>
    </row>
    <row r="8" spans="2:11" x14ac:dyDescent="0.3">
      <c r="B8" s="71">
        <f t="shared" si="0"/>
        <v>6</v>
      </c>
      <c r="C8" s="68"/>
      <c r="D8" s="73"/>
      <c r="E8" s="74"/>
      <c r="F8" s="72"/>
      <c r="G8" s="72"/>
      <c r="H8" s="72"/>
      <c r="I8" s="68"/>
      <c r="J8" s="68"/>
      <c r="K8" s="4"/>
    </row>
    <row r="9" spans="2:11" x14ac:dyDescent="0.3">
      <c r="B9" s="71">
        <f t="shared" si="0"/>
        <v>7</v>
      </c>
      <c r="C9" s="68"/>
      <c r="D9" s="73"/>
      <c r="E9" s="74"/>
      <c r="F9" s="72"/>
      <c r="G9" s="72"/>
      <c r="H9" s="72"/>
      <c r="I9" s="68"/>
      <c r="J9" s="68"/>
      <c r="K9" s="4"/>
    </row>
    <row r="10" spans="2:11" x14ac:dyDescent="0.3">
      <c r="B10" s="71">
        <f t="shared" si="0"/>
        <v>8</v>
      </c>
      <c r="C10" s="68"/>
      <c r="D10" s="73"/>
      <c r="E10" s="74"/>
      <c r="F10" s="72"/>
      <c r="G10" s="72"/>
      <c r="H10" s="72"/>
      <c r="I10" s="68"/>
      <c r="J10" s="68"/>
      <c r="K10" s="4"/>
    </row>
    <row r="11" spans="2:11" x14ac:dyDescent="0.3">
      <c r="B11" s="71">
        <f t="shared" si="0"/>
        <v>9</v>
      </c>
      <c r="C11" s="68"/>
      <c r="D11" s="73"/>
      <c r="E11" s="74"/>
      <c r="F11" s="72"/>
      <c r="G11" s="72"/>
      <c r="H11" s="72"/>
      <c r="I11" s="68"/>
      <c r="J11" s="68"/>
      <c r="K11" s="4"/>
    </row>
    <row r="12" spans="2:11" x14ac:dyDescent="0.3">
      <c r="B12" s="71">
        <f t="shared" si="0"/>
        <v>10</v>
      </c>
      <c r="C12" s="68"/>
      <c r="D12" s="73"/>
      <c r="E12" s="74"/>
      <c r="F12" s="72"/>
      <c r="G12" s="72"/>
      <c r="H12" s="72"/>
      <c r="I12" s="68"/>
      <c r="J12" s="68"/>
      <c r="K12" s="4"/>
    </row>
    <row r="13" spans="2:11" x14ac:dyDescent="0.3">
      <c r="B13" s="71">
        <f t="shared" si="0"/>
        <v>11</v>
      </c>
      <c r="C13" s="68"/>
      <c r="D13" s="73"/>
      <c r="E13" s="74"/>
      <c r="F13" s="72"/>
      <c r="G13" s="72"/>
      <c r="H13" s="72"/>
      <c r="I13" s="68"/>
      <c r="J13" s="68"/>
      <c r="K13" s="4"/>
    </row>
    <row r="14" spans="2:11" x14ac:dyDescent="0.3">
      <c r="B14" s="71">
        <f t="shared" si="0"/>
        <v>12</v>
      </c>
      <c r="C14" s="68"/>
      <c r="D14" s="73"/>
      <c r="E14" s="74"/>
      <c r="F14" s="72"/>
      <c r="G14" s="72"/>
      <c r="H14" s="72"/>
      <c r="I14" s="68"/>
      <c r="J14" s="68"/>
      <c r="K14" s="4"/>
    </row>
    <row r="15" spans="2:11" x14ac:dyDescent="0.3">
      <c r="B15" s="71">
        <f t="shared" si="0"/>
        <v>13</v>
      </c>
      <c r="C15" s="68"/>
      <c r="D15" s="73"/>
      <c r="E15" s="74"/>
      <c r="F15" s="72"/>
      <c r="G15" s="72"/>
      <c r="H15" s="72"/>
      <c r="I15" s="68"/>
      <c r="J15" s="68"/>
      <c r="K15" s="4"/>
    </row>
  </sheetData>
  <phoneticPr fontId="1" type="noConversion"/>
  <conditionalFormatting sqref="G2">
    <cfRule type="duplicateValues" dxfId="17" priority="13"/>
  </conditionalFormatting>
  <conditionalFormatting sqref="G3 G5">
    <cfRule type="duplicateValues" dxfId="16" priority="11"/>
    <cfRule type="duplicateValues" dxfId="15" priority="12"/>
  </conditionalFormatting>
  <conditionalFormatting sqref="G6">
    <cfRule type="duplicateValues" dxfId="14" priority="9"/>
    <cfRule type="duplicateValues" dxfId="13" priority="10"/>
  </conditionalFormatting>
  <conditionalFormatting sqref="G7:G15">
    <cfRule type="duplicateValues" dxfId="12" priority="7"/>
    <cfRule type="duplicateValues" dxfId="11" priority="8"/>
  </conditionalFormatting>
  <conditionalFormatting sqref="H3 H5">
    <cfRule type="duplicateValues" dxfId="10" priority="5"/>
    <cfRule type="duplicateValues" dxfId="9" priority="6"/>
  </conditionalFormatting>
  <conditionalFormatting sqref="H6">
    <cfRule type="duplicateValues" dxfId="8" priority="3"/>
    <cfRule type="duplicateValues" dxfId="7" priority="4"/>
  </conditionalFormatting>
  <conditionalFormatting sqref="H7:H15">
    <cfRule type="duplicateValues" dxfId="6" priority="1"/>
    <cfRule type="duplicateValues" dxfId="5" priority="2"/>
  </conditionalFormatting>
  <dataValidations count="2">
    <dataValidation type="list" allowBlank="1" showInputMessage="1" sqref="C1:C1048576" xr:uid="{00000000-0002-0000-0000-000000000000}">
      <formula1>"pmscenter_pa,scmcenter_pa,omscenter_pa"</formula1>
    </dataValidation>
    <dataValidation type="list" allowBlank="1" showInputMessage="1" showErrorMessage="1" sqref="I1:I1048576" xr:uid="{00000000-0002-0000-0000-000001000000}">
      <formula1>"基础数据,交易数据"</formula1>
    </dataValidation>
  </dataValidation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92D050"/>
  </sheetPr>
  <dimension ref="A1:S55"/>
  <sheetViews>
    <sheetView showGridLines="0" workbookViewId="0">
      <pane xSplit="7" ySplit="1" topLeftCell="I2" activePane="bottomRight" state="frozen"/>
      <selection pane="topRight" activeCell="H1" sqref="H1"/>
      <selection pane="bottomLeft" activeCell="A2" sqref="A2"/>
      <selection pane="bottomRight" activeCell="Q19" sqref="Q19"/>
    </sheetView>
  </sheetViews>
  <sheetFormatPr defaultColWidth="9" defaultRowHeight="14.25" x14ac:dyDescent="0.3"/>
  <cols>
    <col min="1" max="1" width="6.125" style="17" customWidth="1"/>
    <col min="2" max="2" width="26.125" style="18" customWidth="1"/>
    <col min="3" max="3" width="25.5" style="3" customWidth="1"/>
    <col min="4" max="4" width="13.125" style="3" customWidth="1"/>
    <col min="5" max="5" width="6.875" style="3" bestFit="1" customWidth="1"/>
    <col min="6" max="6" width="6.625" style="3" customWidth="1"/>
    <col min="7" max="7" width="11.875" style="3" customWidth="1"/>
    <col min="8" max="8" width="14.875" style="18" customWidth="1"/>
    <col min="9" max="9" width="19.625" style="18" customWidth="1"/>
    <col min="10" max="10" width="9" style="19" customWidth="1"/>
    <col min="11" max="11" width="11.625" style="3" customWidth="1"/>
    <col min="12" max="13" width="9" style="3" customWidth="1"/>
    <col min="14" max="14" width="13.625" style="3" customWidth="1"/>
    <col min="15" max="16" width="11.5" style="3" customWidth="1"/>
    <col min="17" max="17" width="13.125" style="3" customWidth="1"/>
    <col min="18" max="18" width="11.625" style="3" customWidth="1"/>
    <col min="19" max="16384" width="9" style="3"/>
  </cols>
  <sheetData>
    <row r="1" spans="1:19" ht="28.5" x14ac:dyDescent="0.3">
      <c r="A1" s="69" t="s">
        <v>21</v>
      </c>
      <c r="B1" s="69" t="s">
        <v>22</v>
      </c>
      <c r="C1" s="69" t="s">
        <v>23</v>
      </c>
      <c r="D1" s="69" t="s">
        <v>24</v>
      </c>
      <c r="E1" s="69" t="s">
        <v>25</v>
      </c>
      <c r="F1" s="69" t="s">
        <v>26</v>
      </c>
      <c r="G1" s="69" t="s">
        <v>27</v>
      </c>
      <c r="H1" s="69" t="s">
        <v>28</v>
      </c>
      <c r="I1" s="69" t="s">
        <v>29</v>
      </c>
      <c r="J1" s="69" t="s">
        <v>30</v>
      </c>
      <c r="K1" s="20" t="s">
        <v>31</v>
      </c>
      <c r="L1" s="20" t="s">
        <v>32</v>
      </c>
      <c r="M1" s="20" t="s">
        <v>33</v>
      </c>
      <c r="N1" s="21" t="s">
        <v>34</v>
      </c>
      <c r="O1" s="22" t="s">
        <v>35</v>
      </c>
      <c r="P1" s="22" t="s">
        <v>36</v>
      </c>
      <c r="Q1" s="23" t="s">
        <v>37</v>
      </c>
      <c r="R1" s="24" t="s">
        <v>38</v>
      </c>
      <c r="S1" s="24" t="s">
        <v>39</v>
      </c>
    </row>
    <row r="2" spans="1:19" ht="15.75" x14ac:dyDescent="0.3">
      <c r="A2" s="25"/>
      <c r="B2" s="26"/>
      <c r="C2"/>
      <c r="D2"/>
      <c r="E2"/>
      <c r="F2"/>
      <c r="G2"/>
      <c r="H2" s="26"/>
      <c r="I2" s="26"/>
      <c r="J2" s="25"/>
      <c r="K2" s="27" t="s">
        <v>40</v>
      </c>
      <c r="L2" s="27" t="s">
        <v>41</v>
      </c>
      <c r="M2" s="27" t="s">
        <v>42</v>
      </c>
      <c r="N2" s="27" t="s">
        <v>43</v>
      </c>
      <c r="O2" s="28" t="s">
        <v>44</v>
      </c>
      <c r="P2" s="28" t="s">
        <v>45</v>
      </c>
    </row>
    <row r="3" spans="1:19" ht="15.75" x14ac:dyDescent="0.3">
      <c r="A3" s="25"/>
      <c r="B3" s="26"/>
      <c r="C3"/>
      <c r="D3"/>
      <c r="E3"/>
      <c r="F3"/>
      <c r="G3"/>
      <c r="H3" s="26"/>
      <c r="I3" s="26"/>
      <c r="J3" s="25"/>
      <c r="K3" s="3" t="str">
        <f>IF(OR(C3="",C3="列编码"),"",IF(IFERROR(FIND("_ID",C3),0),"ID字段",IFERROR(VLOOKUP(C3,#REF!,1,FALSE),IFERROR(VLOOKUP(C3,#REF!,1,FALSE),IFERROR(VLOOKUP(IFERROR(MID(C3,FIND("@",SUBSTITUTE($C3,"_","@",1))+1,LEN(C3)),""),#REF!,1,FALSE),IFERROR(VLOOKUP(IFERROR(MID(C3,FIND("@",SUBSTITUTE($C3,"_","@",1))+1,LEN(C3)),""),#REF!,1,FALSE),IFERROR(VLOOKUP(IFERROR(MID(C3,FIND("@",SUBSTITUTE($C3,"_","@",2))+1,LEN(C3)),""),#REF!,1,FALSE),IFERROR(VLOOKUP(IFERROR(MID(C3,FIND("@",SUBSTITUTE($C3,"_","@",2))+1,LEN(C3)),""),#REF!,1,FALSE),IFERROR(VLOOKUP(IFERROR(MID(C3,FIND("@",SUBSTITUTE($C3,"_","@",3))+1,LEN(C3)),""),#REF!,1,FALSE),IFERROR(VLOOKUP(IFERROR(MID(C3,FIND("@",SUBSTITUTE($C3,"_","@",3))+1,LEN(C3)),""),#REF!,1,FALSE),IFERROR(VLOOKUP(IFERROR(MID(C3,FIND("@",SUBSTITUTE($C3,"_","@",4))+1,LEN(C3)),""),#REF!,1,FALSE),IFERROR(VLOOKUP(IFERROR(MID(C3,FIND("@",SUBSTITUTE($C3,"_","@",4))+1,LEN(C3)),""),#REF!,1,FALSE),IFERROR(VLOOKUP(IFERROR(MID(C3,FIND("@",SUBSTITUTE($C3,"_","@",5))+1,LEN(C3)),""),#REF!,1,FALSE),IFERROR(VLOOKUP(IFERROR(MID(C3,FIND("@",SUBSTITUTE($C3,"_","@",5))+1,LEN(C3)),""),#REF!,1,FALSE),"不匹配"))))))))))))))</f>
        <v/>
      </c>
      <c r="L3" s="3" t="str">
        <f>IF(OR(K3="",K3="ID字段"),"",IF(K3="不匹配","不符合",IF(IFERROR(LEFT(D3,FIND("(",D3)-1),D3)=VLOOKUP(K3,#REF!,3,FALSE),"符合",IF((IFERROR(LEFT(D3,FIND("(",D3)-1),D3)="DATE")*(VLOOKUP(K3,#REF!,9,FALSE)="日期时间类"),"符合","不符合"))))</f>
        <v/>
      </c>
      <c r="M3" s="3" t="str">
        <f>IF(OR(K3="",K3="ID字段"),"",IF(K3="不匹配","不符合",IF(D3=VLOOKUP(K3,#REF!,6,FALSE),"符合",IF((IFERROR(LEFT(D3,FIND("(",D3)-1),D3)="DATE")*(VLOOKUP(K3,#REF!,9,FALSE)="日期时间类"),"符合","不符合"))))</f>
        <v/>
      </c>
      <c r="N3" s="3" t="str">
        <f t="shared" ref="N3:N6" si="0">IF(OR(K3="",K3="ID字段"),"",IF(K3="不匹配","编码无对应标准",IF(L3="符合",IF(M3="符合","符合","长度精度不符合"),"类型不符合")))</f>
        <v/>
      </c>
      <c r="O3" s="3" t="str">
        <f>IF(OR(K3="",K3="ID字段"),"",IF(K3="不匹配","不符合",VLOOKUP(K3,#REF!,2,FALSE)))</f>
        <v/>
      </c>
      <c r="P3" s="3" t="str">
        <f>IF(OR(K3="",K3="ID字段"),"",IF(K3="不匹配","不符合",VLOOKUP(K3,#REF!,6,FALSE)))</f>
        <v/>
      </c>
    </row>
    <row r="4" spans="1:19" ht="16.5" x14ac:dyDescent="0.3">
      <c r="A4" s="29"/>
      <c r="B4" s="29" t="s">
        <v>46</v>
      </c>
      <c r="C4" s="29"/>
      <c r="D4" s="29" t="s">
        <v>47</v>
      </c>
      <c r="E4" s="29"/>
      <c r="F4" s="29"/>
      <c r="G4" s="29"/>
      <c r="H4" s="30"/>
      <c r="I4" s="29" t="s">
        <v>48</v>
      </c>
      <c r="J4" s="31" t="s">
        <v>49</v>
      </c>
      <c r="K4" s="3" t="str">
        <f>IF(OR(C4="",C4="列编码"),"",IF(IFERROR(FIND("_ID",C4),0),"ID字段",IFERROR(VLOOKUP(C4,#REF!,1,FALSE),IFERROR(VLOOKUP(C4,#REF!,1,FALSE),IFERROR(VLOOKUP(IFERROR(MID(C4,FIND("@",SUBSTITUTE($C4,"_","@",1))+1,LEN(C4)),""),#REF!,1,FALSE),IFERROR(VLOOKUP(IFERROR(MID(C4,FIND("@",SUBSTITUTE($C4,"_","@",1))+1,LEN(C4)),""),#REF!,1,FALSE),IFERROR(VLOOKUP(IFERROR(MID(C4,FIND("@",SUBSTITUTE($C4,"_","@",2))+1,LEN(C4)),""),#REF!,1,FALSE),IFERROR(VLOOKUP(IFERROR(MID(C4,FIND("@",SUBSTITUTE($C4,"_","@",2))+1,LEN(C4)),""),#REF!,1,FALSE),IFERROR(VLOOKUP(IFERROR(MID(C4,FIND("@",SUBSTITUTE($C4,"_","@",3))+1,LEN(C4)),""),#REF!,1,FALSE),IFERROR(VLOOKUP(IFERROR(MID(C4,FIND("@",SUBSTITUTE($C4,"_","@",3))+1,LEN(C4)),""),#REF!,1,FALSE),IFERROR(VLOOKUP(IFERROR(MID(C4,FIND("@",SUBSTITUTE($C4,"_","@",4))+1,LEN(C4)),""),#REF!,1,FALSE),IFERROR(VLOOKUP(IFERROR(MID(C4,FIND("@",SUBSTITUTE($C4,"_","@",4))+1,LEN(C4)),""),#REF!,1,FALSE),IFERROR(VLOOKUP(IFERROR(MID(C4,FIND("@",SUBSTITUTE($C4,"_","@",5))+1,LEN(C4)),""),#REF!,1,FALSE),IFERROR(VLOOKUP(IFERROR(MID(C4,FIND("@",SUBSTITUTE($C4,"_","@",5))+1,LEN(C4)),""),#REF!,1,FALSE),"不匹配"))))))))))))))</f>
        <v/>
      </c>
      <c r="L4" s="3" t="str">
        <f>IF(OR(K4="",K4="ID字段"),"",IF(K4="不匹配","不符合",IF(IFERROR(LEFT(D4,FIND("(",D4)-1),D4)=VLOOKUP(K4,#REF!,3,FALSE),"符合",IF((IFERROR(LEFT(D4,FIND("(",D4)-1),D4)="DATE")*(VLOOKUP(K4,#REF!,9,FALSE)="日期时间类"),"符合","不符合"))))</f>
        <v/>
      </c>
      <c r="M4" s="3" t="str">
        <f>IF(OR(K4="",K4="ID字段"),"",IF(K4="不匹配","不符合",IF(D4=VLOOKUP(K4,#REF!,6,FALSE),"符合",IF((IFERROR(LEFT(D4,FIND("(",D4)-1),D4)="DATE")*(VLOOKUP(K4,#REF!,9,FALSE)="日期时间类"),"符合","不符合"))))</f>
        <v/>
      </c>
      <c r="N4" s="3" t="str">
        <f t="shared" si="0"/>
        <v/>
      </c>
      <c r="O4" s="3" t="str">
        <f>IF(OR(K4="",K4="ID字段"),"",IF(K4="不匹配","不符合",VLOOKUP(K4,#REF!,2,FALSE)))</f>
        <v/>
      </c>
      <c r="P4" s="3" t="str">
        <f>IF(OR(K4="",K4="ID字段"),"",IF(K4="不匹配","不符合",VLOOKUP(K4,#REF!,6,FALSE)))</f>
        <v/>
      </c>
    </row>
    <row r="5" spans="1:19" ht="16.5" x14ac:dyDescent="0.3">
      <c r="A5" s="29"/>
      <c r="B5" s="29" t="s">
        <v>50</v>
      </c>
      <c r="C5" s="29"/>
      <c r="D5" s="29"/>
      <c r="E5" s="29"/>
      <c r="F5" s="29"/>
      <c r="G5" s="29"/>
      <c r="H5" s="30"/>
      <c r="I5" s="29"/>
      <c r="J5" s="29"/>
      <c r="K5" s="4" t="str">
        <f>IF(OR(C5="",C5="列编码"),"",IF(IFERROR(FIND("_ID",C5),0),"ID字段",IFERROR(VLOOKUP(C5,#REF!,1,FALSE),IFERROR(VLOOKUP(C5,#REF!,1,FALSE),IFERROR(VLOOKUP(IFERROR(MID(C5,FIND("@",SUBSTITUTE($C5,"_","@",1))+1,LEN(C5)),""),#REF!,1,FALSE),IFERROR(VLOOKUP(IFERROR(MID(C5,FIND("@",SUBSTITUTE($C5,"_","@",1))+1,LEN(C5)),""),#REF!,1,FALSE),IFERROR(VLOOKUP(IFERROR(MID(C5,FIND("@",SUBSTITUTE($C5,"_","@",2))+1,LEN(C5)),""),#REF!,1,FALSE),IFERROR(VLOOKUP(IFERROR(MID(C5,FIND("@",SUBSTITUTE($C5,"_","@",2))+1,LEN(C5)),""),#REF!,1,FALSE),IFERROR(VLOOKUP(IFERROR(MID(C5,FIND("@",SUBSTITUTE($C5,"_","@",3))+1,LEN(C5)),""),#REF!,1,FALSE),IFERROR(VLOOKUP(IFERROR(MID(C5,FIND("@",SUBSTITUTE($C5,"_","@",3))+1,LEN(C5)),""),#REF!,1,FALSE),IFERROR(VLOOKUP(IFERROR(MID(C5,FIND("@",SUBSTITUTE($C5,"_","@",4))+1,LEN(C5)),""),#REF!,1,FALSE),IFERROR(VLOOKUP(IFERROR(MID(C5,FIND("@",SUBSTITUTE($C5,"_","@",4))+1,LEN(C5)),""),#REF!,1,FALSE),IFERROR(VLOOKUP(IFERROR(MID(C5,FIND("@",SUBSTITUTE($C5,"_","@",5))+1,LEN(C5)),""),#REF!,1,FALSE),IFERROR(VLOOKUP(IFERROR(MID(C5,FIND("@",SUBSTITUTE($C5,"_","@",5))+1,LEN(C5)),""),#REF!,1,FALSE),"不匹配"))))))))))))))</f>
        <v/>
      </c>
      <c r="L5" s="32" t="str">
        <f>IF(OR(K5="",K5="ID字段"),"",IF(K5="不匹配","不符合",IF(IFERROR(LEFT(D5,FIND("(",D5)-1),D5)=VLOOKUP(K5,#REF!,3,FALSE),"符合",IF((IFERROR(LEFT(D5,FIND("(",D5)-1),D5)="DATE")*(VLOOKUP(K5,#REF!,9,FALSE)="日期时间类"),"符合","不符合"))))</f>
        <v/>
      </c>
      <c r="M5" s="32" t="str">
        <f>IF(OR(K5="",K5="ID字段"),"",IF(K5="不匹配","不符合",IF(D5=VLOOKUP(K5,#REF!,6,FALSE),"符合",IF((IFERROR(LEFT(D5,FIND("(",D5)-1),D5)="DATE")*(VLOOKUP(K5,#REF!,9,FALSE)="日期时间类"),"符合","不符合"))))</f>
        <v/>
      </c>
      <c r="N5" s="32" t="str">
        <f t="shared" si="0"/>
        <v/>
      </c>
      <c r="O5" s="33" t="str">
        <f>IF(OR(K5="",K5="ID字段"),"",IF(K5="不匹配","不符合",VLOOKUP(K5,#REF!,2,FALSE)))</f>
        <v/>
      </c>
      <c r="P5" s="33" t="str">
        <f>IF(OR(K5="",K5="ID字段"),"",IF(K5="不匹配","不符合",VLOOKUP(K5,#REF!,6,FALSE)))</f>
        <v/>
      </c>
      <c r="Q5" s="4"/>
      <c r="R5" s="4"/>
      <c r="S5" s="4"/>
    </row>
    <row r="6" spans="1:19" ht="16.5" x14ac:dyDescent="0.3">
      <c r="A6" s="29" t="s">
        <v>0</v>
      </c>
      <c r="B6" s="29" t="s">
        <v>22</v>
      </c>
      <c r="C6" s="29" t="s">
        <v>23</v>
      </c>
      <c r="D6" s="29" t="s">
        <v>51</v>
      </c>
      <c r="E6" s="29" t="s">
        <v>52</v>
      </c>
      <c r="F6" s="29" t="s">
        <v>53</v>
      </c>
      <c r="G6" s="29" t="s">
        <v>54</v>
      </c>
      <c r="H6" s="30" t="s">
        <v>55</v>
      </c>
      <c r="I6" s="29" t="s">
        <v>56</v>
      </c>
      <c r="J6" s="29" t="s">
        <v>57</v>
      </c>
      <c r="K6" s="4" t="str">
        <f>IF(OR(C6="",C6="列编码"),"",IF(IFERROR(FIND("_ID",C6),0),"ID字段",IFERROR(VLOOKUP(C6,#REF!,1,FALSE),IFERROR(VLOOKUP(C6,#REF!,1,FALSE),IFERROR(VLOOKUP(IFERROR(MID(C6,FIND("@",SUBSTITUTE($C6,"_","@",1))+1,LEN(C6)),""),#REF!,1,FALSE),IFERROR(VLOOKUP(IFERROR(MID(C6,FIND("@",SUBSTITUTE($C6,"_","@",1))+1,LEN(C6)),""),#REF!,1,FALSE),IFERROR(VLOOKUP(IFERROR(MID(C6,FIND("@",SUBSTITUTE($C6,"_","@",2))+1,LEN(C6)),""),#REF!,1,FALSE),IFERROR(VLOOKUP(IFERROR(MID(C6,FIND("@",SUBSTITUTE($C6,"_","@",2))+1,LEN(C6)),""),#REF!,1,FALSE),IFERROR(VLOOKUP(IFERROR(MID(C6,FIND("@",SUBSTITUTE($C6,"_","@",3))+1,LEN(C6)),""),#REF!,1,FALSE),IFERROR(VLOOKUP(IFERROR(MID(C6,FIND("@",SUBSTITUTE($C6,"_","@",3))+1,LEN(C6)),""),#REF!,1,FALSE),IFERROR(VLOOKUP(IFERROR(MID(C6,FIND("@",SUBSTITUTE($C6,"_","@",4))+1,LEN(C6)),""),#REF!,1,FALSE),IFERROR(VLOOKUP(IFERROR(MID(C6,FIND("@",SUBSTITUTE($C6,"_","@",4))+1,LEN(C6)),""),#REF!,1,FALSE),IFERROR(VLOOKUP(IFERROR(MID(C6,FIND("@",SUBSTITUTE($C6,"_","@",5))+1,LEN(C6)),""),#REF!,1,FALSE),IFERROR(VLOOKUP(IFERROR(MID(C6,FIND("@",SUBSTITUTE($C6,"_","@",5))+1,LEN(C6)),""),#REF!,1,FALSE),"不匹配"))))))))))))))</f>
        <v/>
      </c>
      <c r="L6" s="33" t="str">
        <f>IF(OR(K6="",K6="ID字段"),"",IF(K6="不匹配","不符合",IF(IFERROR(LEFT(D6,FIND("(",D6)-1),D6)=VLOOKUP(K6,#REF!,3,FALSE),"符合",IF((IFERROR(LEFT(D6,FIND("(",D6)-1),D6)="DATE")*(VLOOKUP(K6,#REF!,9,FALSE)="日期时间类"),"符合","不符合"))))</f>
        <v/>
      </c>
      <c r="M6" s="33" t="str">
        <f>IF(OR(K6="",K6="ID字段"),"",IF(K6="不匹配","不符合",IF(D6=VLOOKUP(K6,#REF!,6,FALSE),"符合",IF((IFERROR(LEFT(D6,FIND("(",D6)-1),D6)="DATE")*(VLOOKUP(K6,#REF!,9,FALSE)="日期时间类"),"符合","不符合"))))</f>
        <v/>
      </c>
      <c r="N6" s="32" t="str">
        <f t="shared" si="0"/>
        <v/>
      </c>
      <c r="O6" s="33" t="str">
        <f>IF(OR(K6="",K6="ID字段"),"",IF(K6="不匹配","不符合",VLOOKUP(K6,#REF!,2,FALSE)))</f>
        <v/>
      </c>
      <c r="P6" s="33" t="str">
        <f>IF(OR(K6="",K6="ID字段"),"",IF(K6="不匹配","不符合",VLOOKUP(K6,#REF!,6,FALSE)))</f>
        <v/>
      </c>
      <c r="Q6" s="4"/>
      <c r="R6" s="4"/>
      <c r="S6" s="4"/>
    </row>
    <row r="7" spans="1:19" s="39" customFormat="1" ht="16.5" x14ac:dyDescent="0.3">
      <c r="A7" s="34">
        <v>1</v>
      </c>
      <c r="B7" s="35" t="s">
        <v>58</v>
      </c>
      <c r="C7" s="35" t="s">
        <v>59</v>
      </c>
      <c r="D7" s="35" t="s">
        <v>60</v>
      </c>
      <c r="E7" s="35"/>
      <c r="F7" s="35" t="s">
        <v>61</v>
      </c>
      <c r="G7" s="35" t="s">
        <v>62</v>
      </c>
      <c r="H7" s="35"/>
      <c r="I7" s="35" t="s">
        <v>58</v>
      </c>
      <c r="J7" s="35" t="s">
        <v>11</v>
      </c>
      <c r="K7" s="36"/>
      <c r="L7" s="37"/>
      <c r="M7" s="37"/>
      <c r="N7" s="38"/>
      <c r="O7" s="37"/>
      <c r="P7" s="37"/>
      <c r="Q7" s="36"/>
      <c r="R7" s="36"/>
      <c r="S7" s="36"/>
    </row>
    <row r="8" spans="1:19" s="39" customFormat="1" ht="16.5" x14ac:dyDescent="0.3">
      <c r="A8" s="34">
        <v>2</v>
      </c>
      <c r="B8" s="35" t="s">
        <v>63</v>
      </c>
      <c r="C8" s="35" t="s">
        <v>64</v>
      </c>
      <c r="D8" s="35" t="s">
        <v>60</v>
      </c>
      <c r="E8" s="35"/>
      <c r="F8" s="35"/>
      <c r="G8" s="35" t="s">
        <v>62</v>
      </c>
      <c r="H8" s="35"/>
      <c r="I8" s="35" t="s">
        <v>63</v>
      </c>
      <c r="J8" s="35" t="s">
        <v>11</v>
      </c>
      <c r="K8" s="36"/>
      <c r="L8" s="37"/>
      <c r="M8" s="37"/>
      <c r="N8" s="38"/>
      <c r="O8" s="37"/>
      <c r="P8" s="37"/>
      <c r="Q8" s="36"/>
      <c r="R8" s="36"/>
      <c r="S8" s="36"/>
    </row>
    <row r="9" spans="1:19" s="39" customFormat="1" ht="16.5" x14ac:dyDescent="0.3">
      <c r="A9" s="34">
        <v>3</v>
      </c>
      <c r="B9" s="35" t="s">
        <v>65</v>
      </c>
      <c r="C9" s="35" t="s">
        <v>66</v>
      </c>
      <c r="D9" s="35" t="s">
        <v>67</v>
      </c>
      <c r="E9" s="35"/>
      <c r="F9" s="35"/>
      <c r="G9" s="35" t="s">
        <v>10</v>
      </c>
      <c r="H9" s="35"/>
      <c r="I9" s="35" t="s">
        <v>65</v>
      </c>
      <c r="J9" s="35" t="s">
        <v>11</v>
      </c>
      <c r="K9" s="36"/>
      <c r="L9" s="37"/>
      <c r="M9" s="37"/>
      <c r="N9" s="38"/>
      <c r="O9" s="37"/>
      <c r="P9" s="37"/>
      <c r="Q9" s="36"/>
      <c r="R9" s="36"/>
      <c r="S9" s="36"/>
    </row>
    <row r="10" spans="1:19" s="39" customFormat="1" ht="16.5" x14ac:dyDescent="0.3">
      <c r="A10" s="34">
        <v>4</v>
      </c>
      <c r="B10" s="35" t="s">
        <v>68</v>
      </c>
      <c r="C10" s="35" t="s">
        <v>69</v>
      </c>
      <c r="D10" s="35" t="s">
        <v>67</v>
      </c>
      <c r="E10" s="35"/>
      <c r="F10" s="35"/>
      <c r="G10" s="35" t="s">
        <v>10</v>
      </c>
      <c r="H10" s="35"/>
      <c r="I10" s="35" t="s">
        <v>68</v>
      </c>
      <c r="J10" s="35" t="s">
        <v>11</v>
      </c>
      <c r="K10" s="36"/>
      <c r="L10" s="37"/>
      <c r="M10" s="37"/>
      <c r="N10" s="38"/>
      <c r="O10" s="37"/>
      <c r="P10" s="37"/>
      <c r="Q10" s="36"/>
      <c r="R10" s="36"/>
      <c r="S10" s="36"/>
    </row>
    <row r="11" spans="1:19" s="39" customFormat="1" ht="16.5" x14ac:dyDescent="0.3">
      <c r="A11" s="34">
        <v>5</v>
      </c>
      <c r="B11" s="35" t="s">
        <v>70</v>
      </c>
      <c r="C11" s="35" t="s">
        <v>71</v>
      </c>
      <c r="D11" s="35" t="s">
        <v>67</v>
      </c>
      <c r="E11" s="35"/>
      <c r="F11" s="35"/>
      <c r="G11" s="35" t="s">
        <v>10</v>
      </c>
      <c r="H11" s="35"/>
      <c r="I11" s="35" t="s">
        <v>70</v>
      </c>
      <c r="J11" s="35" t="s">
        <v>11</v>
      </c>
      <c r="K11" s="36"/>
      <c r="L11" s="37"/>
      <c r="M11" s="37"/>
      <c r="N11" s="38"/>
      <c r="O11" s="37"/>
      <c r="P11" s="37"/>
      <c r="Q11" s="36"/>
      <c r="R11" s="36"/>
      <c r="S11" s="36"/>
    </row>
    <row r="12" spans="1:19" s="39" customFormat="1" ht="16.5" x14ac:dyDescent="0.3">
      <c r="A12" s="34">
        <v>6</v>
      </c>
      <c r="B12" s="35" t="s">
        <v>72</v>
      </c>
      <c r="C12" s="35" t="s">
        <v>73</v>
      </c>
      <c r="D12" s="35" t="s">
        <v>74</v>
      </c>
      <c r="E12" s="35">
        <v>20</v>
      </c>
      <c r="F12" s="35"/>
      <c r="G12" s="35" t="s">
        <v>62</v>
      </c>
      <c r="H12" s="35"/>
      <c r="I12" s="35" t="s">
        <v>72</v>
      </c>
      <c r="J12" s="35" t="s">
        <v>11</v>
      </c>
      <c r="K12" s="36"/>
      <c r="L12" s="37"/>
      <c r="M12" s="37"/>
      <c r="N12" s="38"/>
      <c r="O12" s="37"/>
      <c r="P12" s="37"/>
      <c r="Q12" s="40"/>
      <c r="R12" s="36"/>
      <c r="S12" s="36"/>
    </row>
    <row r="13" spans="1:19" s="39" customFormat="1" ht="16.5" x14ac:dyDescent="0.3">
      <c r="A13" s="34">
        <v>7</v>
      </c>
      <c r="B13" s="41" t="s">
        <v>75</v>
      </c>
      <c r="C13" s="41" t="s">
        <v>76</v>
      </c>
      <c r="D13" s="41" t="s">
        <v>77</v>
      </c>
      <c r="E13" s="41"/>
      <c r="F13" s="42"/>
      <c r="G13" s="41" t="s">
        <v>62</v>
      </c>
      <c r="H13" s="42"/>
      <c r="I13" s="42" t="s">
        <v>75</v>
      </c>
      <c r="J13" s="43" t="s">
        <v>11</v>
      </c>
      <c r="K13" s="36"/>
      <c r="L13" s="37"/>
      <c r="M13" s="37"/>
      <c r="N13" s="38"/>
      <c r="O13" s="37"/>
      <c r="P13" s="37"/>
      <c r="Q13" s="40"/>
      <c r="R13" s="36"/>
      <c r="S13" s="36"/>
    </row>
    <row r="14" spans="1:19" s="39" customFormat="1" ht="19.5" customHeight="1" x14ac:dyDescent="0.3">
      <c r="A14" s="34">
        <v>8</v>
      </c>
      <c r="B14" s="41" t="s">
        <v>78</v>
      </c>
      <c r="C14" s="45" t="s">
        <v>79</v>
      </c>
      <c r="D14" s="41" t="s">
        <v>80</v>
      </c>
      <c r="E14" s="41"/>
      <c r="F14" s="42"/>
      <c r="G14" s="41" t="s">
        <v>10</v>
      </c>
      <c r="H14" s="42"/>
      <c r="I14" s="42" t="s">
        <v>78</v>
      </c>
      <c r="J14" s="43" t="s">
        <v>11</v>
      </c>
      <c r="K14" s="36"/>
      <c r="L14" s="37"/>
      <c r="M14" s="37"/>
      <c r="N14" s="38"/>
      <c r="O14" s="37"/>
      <c r="P14" s="37"/>
      <c r="Q14" s="40"/>
      <c r="R14" s="36"/>
      <c r="S14" s="36"/>
    </row>
    <row r="15" spans="1:19" s="39" customFormat="1" ht="16.5" customHeight="1" x14ac:dyDescent="0.3">
      <c r="A15" s="34">
        <v>9</v>
      </c>
      <c r="B15" s="41" t="s">
        <v>81</v>
      </c>
      <c r="C15" s="45" t="s">
        <v>82</v>
      </c>
      <c r="D15" s="41" t="s">
        <v>80</v>
      </c>
      <c r="E15" s="41"/>
      <c r="F15" s="42"/>
      <c r="G15" s="41" t="s">
        <v>10</v>
      </c>
      <c r="H15" s="42"/>
      <c r="I15" s="42" t="s">
        <v>81</v>
      </c>
      <c r="J15" s="43" t="s">
        <v>11</v>
      </c>
      <c r="K15" s="36"/>
      <c r="L15" s="37"/>
      <c r="M15" s="37"/>
      <c r="N15" s="38"/>
      <c r="O15" s="37"/>
      <c r="P15" s="37"/>
      <c r="Q15" s="40"/>
      <c r="R15" s="36"/>
      <c r="S15" s="36"/>
    </row>
    <row r="16" spans="1:19" s="39" customFormat="1" ht="16.5" customHeight="1" x14ac:dyDescent="0.3">
      <c r="A16" s="34">
        <v>9</v>
      </c>
      <c r="B16" s="41" t="s">
        <v>83</v>
      </c>
      <c r="C16" s="46" t="s">
        <v>84</v>
      </c>
      <c r="D16" s="41" t="s">
        <v>85</v>
      </c>
      <c r="E16" s="41"/>
      <c r="F16" s="42"/>
      <c r="G16" s="41" t="s">
        <v>10</v>
      </c>
      <c r="H16" s="42"/>
      <c r="I16" s="42" t="s">
        <v>81</v>
      </c>
      <c r="J16" s="43" t="s">
        <v>11</v>
      </c>
      <c r="K16" s="36"/>
      <c r="L16" s="37"/>
      <c r="M16" s="37"/>
      <c r="N16" s="38"/>
      <c r="O16" s="37"/>
      <c r="P16" s="37"/>
      <c r="Q16" s="40"/>
      <c r="R16" s="36"/>
      <c r="S16" s="36"/>
    </row>
    <row r="17" spans="1:19" s="39" customFormat="1" ht="16.5" customHeight="1" x14ac:dyDescent="0.3">
      <c r="A17" s="34">
        <v>9</v>
      </c>
      <c r="B17" s="41" t="s">
        <v>86</v>
      </c>
      <c r="C17" s="45" t="s">
        <v>87</v>
      </c>
      <c r="D17" s="41" t="s">
        <v>88</v>
      </c>
      <c r="E17" s="41"/>
      <c r="F17" s="42"/>
      <c r="G17" s="41" t="s">
        <v>10</v>
      </c>
      <c r="H17" s="42"/>
      <c r="I17" s="42" t="s">
        <v>81</v>
      </c>
      <c r="J17" s="43" t="s">
        <v>11</v>
      </c>
      <c r="K17" s="36"/>
      <c r="L17" s="37"/>
      <c r="M17" s="37"/>
      <c r="N17" s="38"/>
      <c r="O17" s="37"/>
      <c r="P17" s="37"/>
      <c r="Q17" s="40"/>
      <c r="R17" s="36"/>
      <c r="S17" s="36"/>
    </row>
    <row r="18" spans="1:19" s="39" customFormat="1" ht="16.5" x14ac:dyDescent="0.3">
      <c r="A18" s="34">
        <v>10</v>
      </c>
      <c r="B18" s="47" t="s">
        <v>89</v>
      </c>
      <c r="C18" s="47" t="s">
        <v>90</v>
      </c>
      <c r="D18" s="47" t="s">
        <v>60</v>
      </c>
      <c r="E18" s="47">
        <v>36</v>
      </c>
      <c r="F18" s="47"/>
      <c r="G18" s="47" t="s">
        <v>62</v>
      </c>
      <c r="H18" s="48"/>
      <c r="I18" s="47" t="s">
        <v>89</v>
      </c>
      <c r="J18" s="47" t="s">
        <v>11</v>
      </c>
      <c r="K18" s="36"/>
      <c r="L18" s="37"/>
      <c r="M18" s="37"/>
      <c r="N18" s="38"/>
      <c r="O18" s="37"/>
      <c r="P18" s="37"/>
      <c r="Q18" s="36"/>
      <c r="R18" s="36"/>
      <c r="S18" s="36"/>
    </row>
    <row r="19" spans="1:19" s="39" customFormat="1" ht="16.5" x14ac:dyDescent="0.3">
      <c r="A19" s="34">
        <v>11</v>
      </c>
      <c r="B19" s="47" t="s">
        <v>91</v>
      </c>
      <c r="C19" s="47" t="s">
        <v>92</v>
      </c>
      <c r="D19" s="47" t="s">
        <v>60</v>
      </c>
      <c r="E19" s="47">
        <v>36</v>
      </c>
      <c r="F19" s="47"/>
      <c r="G19" s="47" t="s">
        <v>62</v>
      </c>
      <c r="H19" s="48"/>
      <c r="I19" s="47" t="s">
        <v>91</v>
      </c>
      <c r="J19" s="47" t="s">
        <v>11</v>
      </c>
      <c r="K19" s="36"/>
      <c r="L19" s="37"/>
      <c r="M19" s="37"/>
      <c r="N19" s="38"/>
      <c r="O19" s="37"/>
      <c r="P19" s="37"/>
      <c r="Q19" s="36"/>
      <c r="R19" s="44"/>
      <c r="S19" s="36"/>
    </row>
    <row r="20" spans="1:19" s="39" customFormat="1" ht="16.5" x14ac:dyDescent="0.3">
      <c r="A20" s="34">
        <v>12</v>
      </c>
      <c r="B20" s="47" t="s">
        <v>93</v>
      </c>
      <c r="C20" s="47" t="s">
        <v>94</v>
      </c>
      <c r="D20" s="47" t="s">
        <v>67</v>
      </c>
      <c r="E20" s="47">
        <v>50</v>
      </c>
      <c r="F20" s="47" t="s">
        <v>95</v>
      </c>
      <c r="G20" s="47" t="s">
        <v>62</v>
      </c>
      <c r="H20" s="48"/>
      <c r="I20" s="47" t="s">
        <v>93</v>
      </c>
      <c r="J20" s="47" t="s">
        <v>11</v>
      </c>
      <c r="K20" s="36"/>
      <c r="L20" s="37"/>
      <c r="M20" s="37"/>
      <c r="N20" s="38"/>
      <c r="O20" s="37"/>
      <c r="P20" s="37"/>
      <c r="Q20" s="36"/>
      <c r="R20" s="44"/>
      <c r="S20" s="36"/>
    </row>
    <row r="21" spans="1:19" s="39" customFormat="1" ht="16.5" x14ac:dyDescent="0.3">
      <c r="A21" s="34">
        <v>13</v>
      </c>
      <c r="B21" s="47" t="s">
        <v>96</v>
      </c>
      <c r="C21" s="47" t="s">
        <v>97</v>
      </c>
      <c r="D21" s="47" t="s">
        <v>67</v>
      </c>
      <c r="E21" s="47">
        <v>50</v>
      </c>
      <c r="F21" s="47"/>
      <c r="G21" s="47" t="s">
        <v>62</v>
      </c>
      <c r="H21" s="48"/>
      <c r="I21" s="47" t="s">
        <v>96</v>
      </c>
      <c r="J21" s="47" t="s">
        <v>11</v>
      </c>
      <c r="K21" s="36"/>
      <c r="L21" s="37"/>
      <c r="M21" s="37"/>
      <c r="N21" s="38"/>
      <c r="O21" s="37"/>
      <c r="P21" s="37"/>
      <c r="Q21" s="36"/>
      <c r="R21" s="44"/>
      <c r="S21" s="36"/>
    </row>
    <row r="22" spans="1:19" s="39" customFormat="1" ht="16.5" x14ac:dyDescent="0.3">
      <c r="A22" s="34">
        <v>14</v>
      </c>
      <c r="B22" s="47" t="s">
        <v>98</v>
      </c>
      <c r="C22" s="47" t="s">
        <v>99</v>
      </c>
      <c r="D22" s="47" t="s">
        <v>67</v>
      </c>
      <c r="E22" s="47">
        <v>50</v>
      </c>
      <c r="F22" s="47"/>
      <c r="G22" s="47" t="s">
        <v>62</v>
      </c>
      <c r="H22" s="48"/>
      <c r="I22" s="47" t="s">
        <v>98</v>
      </c>
      <c r="J22" s="47" t="s">
        <v>11</v>
      </c>
      <c r="K22" s="36"/>
      <c r="L22" s="37"/>
      <c r="M22" s="37"/>
      <c r="N22" s="38"/>
      <c r="O22" s="37"/>
      <c r="P22" s="37"/>
      <c r="Q22" s="36"/>
      <c r="R22" s="49"/>
      <c r="S22" s="36"/>
    </row>
    <row r="23" spans="1:19" s="39" customFormat="1" ht="16.5" x14ac:dyDescent="0.3">
      <c r="A23" s="34">
        <v>15</v>
      </c>
      <c r="B23" s="47" t="s">
        <v>100</v>
      </c>
      <c r="C23" s="47" t="s">
        <v>101</v>
      </c>
      <c r="D23" s="47" t="s">
        <v>67</v>
      </c>
      <c r="E23" s="47">
        <v>50</v>
      </c>
      <c r="F23" s="47"/>
      <c r="G23" s="47" t="s">
        <v>62</v>
      </c>
      <c r="H23" s="48"/>
      <c r="I23" s="47" t="s">
        <v>100</v>
      </c>
      <c r="J23" s="47" t="s">
        <v>11</v>
      </c>
      <c r="K23" s="36"/>
      <c r="L23" s="37"/>
      <c r="M23" s="37"/>
      <c r="N23" s="38"/>
      <c r="O23" s="37"/>
      <c r="P23" s="37"/>
      <c r="Q23" s="36"/>
      <c r="R23" s="44"/>
      <c r="S23" s="36"/>
    </row>
    <row r="24" spans="1:19" s="39" customFormat="1" ht="16.5" x14ac:dyDescent="0.3">
      <c r="A24" s="34">
        <v>16</v>
      </c>
      <c r="B24" s="47" t="s">
        <v>102</v>
      </c>
      <c r="C24" s="47" t="s">
        <v>103</v>
      </c>
      <c r="D24" s="47" t="s">
        <v>104</v>
      </c>
      <c r="E24" s="47"/>
      <c r="F24" s="47" t="s">
        <v>95</v>
      </c>
      <c r="G24" s="47" t="s">
        <v>62</v>
      </c>
      <c r="H24" s="48" t="s">
        <v>105</v>
      </c>
      <c r="I24" s="47" t="s">
        <v>102</v>
      </c>
      <c r="J24" s="47" t="s">
        <v>11</v>
      </c>
      <c r="K24" s="36"/>
      <c r="L24" s="37"/>
      <c r="M24" s="37"/>
      <c r="N24" s="38"/>
      <c r="O24" s="37"/>
      <c r="P24" s="37"/>
      <c r="Q24" s="36"/>
      <c r="R24" s="44"/>
      <c r="S24" s="36"/>
    </row>
    <row r="25" spans="1:19" s="39" customFormat="1" ht="16.5" x14ac:dyDescent="0.3">
      <c r="A25" s="34">
        <v>17</v>
      </c>
      <c r="B25" s="47" t="s">
        <v>106</v>
      </c>
      <c r="C25" s="47" t="s">
        <v>107</v>
      </c>
      <c r="D25" s="47" t="s">
        <v>67</v>
      </c>
      <c r="E25" s="47">
        <v>50</v>
      </c>
      <c r="F25" s="47"/>
      <c r="G25" s="47" t="s">
        <v>62</v>
      </c>
      <c r="H25" s="48"/>
      <c r="I25" s="47" t="s">
        <v>106</v>
      </c>
      <c r="J25" s="47" t="s">
        <v>11</v>
      </c>
      <c r="K25" s="36"/>
      <c r="L25" s="37"/>
      <c r="M25" s="37"/>
      <c r="N25" s="38"/>
      <c r="O25" s="37"/>
      <c r="P25" s="37"/>
      <c r="Q25" s="36"/>
      <c r="R25" s="44"/>
      <c r="S25" s="36"/>
    </row>
    <row r="26" spans="1:19" s="39" customFormat="1" ht="16.5" x14ac:dyDescent="0.3">
      <c r="A26" s="34">
        <v>18</v>
      </c>
      <c r="B26" s="47" t="s">
        <v>108</v>
      </c>
      <c r="C26" s="47" t="s">
        <v>109</v>
      </c>
      <c r="D26" s="47" t="s">
        <v>67</v>
      </c>
      <c r="E26" s="47">
        <v>50</v>
      </c>
      <c r="F26" s="47"/>
      <c r="G26" s="47" t="s">
        <v>62</v>
      </c>
      <c r="H26" s="48"/>
      <c r="I26" s="47" t="s">
        <v>108</v>
      </c>
      <c r="J26" s="47" t="s">
        <v>11</v>
      </c>
      <c r="K26" s="36"/>
      <c r="L26" s="37"/>
      <c r="M26" s="37"/>
      <c r="N26" s="38"/>
      <c r="O26" s="37"/>
      <c r="P26" s="37"/>
      <c r="Q26" s="36"/>
      <c r="R26" s="44"/>
      <c r="S26" s="36"/>
    </row>
    <row r="27" spans="1:19" s="39" customFormat="1" ht="16.5" x14ac:dyDescent="0.3">
      <c r="A27" s="34">
        <v>19</v>
      </c>
      <c r="B27" s="47" t="s">
        <v>110</v>
      </c>
      <c r="C27" s="47" t="s">
        <v>17</v>
      </c>
      <c r="D27" s="47" t="s">
        <v>104</v>
      </c>
      <c r="E27" s="47"/>
      <c r="F27" s="47" t="s">
        <v>95</v>
      </c>
      <c r="G27" s="47" t="s">
        <v>62</v>
      </c>
      <c r="H27" s="48" t="s">
        <v>105</v>
      </c>
      <c r="I27" s="47" t="s">
        <v>110</v>
      </c>
      <c r="J27" s="47" t="s">
        <v>11</v>
      </c>
      <c r="K27" s="36"/>
      <c r="L27" s="37"/>
      <c r="M27" s="37"/>
      <c r="N27" s="38"/>
      <c r="O27" s="37"/>
      <c r="P27" s="37"/>
      <c r="Q27" s="36"/>
      <c r="R27" s="44"/>
      <c r="S27" s="36"/>
    </row>
    <row r="28" spans="1:19" s="39" customFormat="1" ht="16.5" x14ac:dyDescent="0.3">
      <c r="A28" s="34">
        <v>20</v>
      </c>
      <c r="B28" s="47" t="s">
        <v>111</v>
      </c>
      <c r="C28" s="47" t="s">
        <v>112</v>
      </c>
      <c r="D28" s="47" t="s">
        <v>113</v>
      </c>
      <c r="E28" s="47">
        <v>2</v>
      </c>
      <c r="F28" s="47"/>
      <c r="G28" s="47" t="s">
        <v>62</v>
      </c>
      <c r="H28" s="48">
        <v>1</v>
      </c>
      <c r="I28" s="47" t="s">
        <v>111</v>
      </c>
      <c r="J28" s="47" t="s">
        <v>11</v>
      </c>
      <c r="K28" s="36"/>
      <c r="L28" s="37"/>
      <c r="M28" s="37"/>
      <c r="N28" s="38"/>
      <c r="O28" s="37"/>
      <c r="P28" s="37"/>
      <c r="Q28" s="36"/>
      <c r="R28" s="36"/>
      <c r="S28" s="36"/>
    </row>
    <row r="29" spans="1:19" s="39" customFormat="1" ht="16.5" x14ac:dyDescent="0.3">
      <c r="A29" s="34">
        <v>21</v>
      </c>
      <c r="B29" s="47" t="s">
        <v>114</v>
      </c>
      <c r="C29" s="47" t="s">
        <v>115</v>
      </c>
      <c r="D29" s="47" t="s">
        <v>60</v>
      </c>
      <c r="E29" s="47">
        <v>36</v>
      </c>
      <c r="F29" s="47"/>
      <c r="G29" s="47" t="s">
        <v>62</v>
      </c>
      <c r="H29" s="48">
        <v>88888</v>
      </c>
      <c r="I29" s="47" t="s">
        <v>114</v>
      </c>
      <c r="J29" s="47" t="s">
        <v>11</v>
      </c>
      <c r="K29" s="36"/>
      <c r="L29" s="37"/>
      <c r="M29" s="37"/>
      <c r="N29" s="38"/>
      <c r="O29" s="37"/>
      <c r="P29" s="37"/>
      <c r="Q29" s="36"/>
      <c r="R29" s="36"/>
      <c r="S29" s="36"/>
    </row>
    <row r="30" spans="1:19" s="39" customFormat="1" ht="16.5" x14ac:dyDescent="0.3">
      <c r="A30" s="34">
        <v>22</v>
      </c>
      <c r="B30" s="47" t="s">
        <v>116</v>
      </c>
      <c r="C30" s="47" t="s">
        <v>117</v>
      </c>
      <c r="D30" s="47" t="s">
        <v>60</v>
      </c>
      <c r="E30" s="47">
        <v>36</v>
      </c>
      <c r="F30" s="47"/>
      <c r="G30" s="47" t="s">
        <v>62</v>
      </c>
      <c r="H30" s="48"/>
      <c r="I30" s="47" t="s">
        <v>116</v>
      </c>
      <c r="J30" s="47" t="s">
        <v>11</v>
      </c>
      <c r="K30" s="36"/>
      <c r="L30" s="37"/>
      <c r="M30" s="37"/>
      <c r="N30" s="38"/>
      <c r="O30" s="37"/>
      <c r="P30" s="37"/>
      <c r="Q30" s="36"/>
      <c r="R30" s="36"/>
      <c r="S30" s="36"/>
    </row>
    <row r="31" spans="1:19" s="39" customFormat="1" ht="16.5" x14ac:dyDescent="0.3">
      <c r="A31" s="34">
        <v>23</v>
      </c>
      <c r="B31" s="47" t="s">
        <v>118</v>
      </c>
      <c r="C31" s="47" t="s">
        <v>19</v>
      </c>
      <c r="D31" s="47" t="s">
        <v>104</v>
      </c>
      <c r="E31" s="47"/>
      <c r="F31" s="47" t="s">
        <v>95</v>
      </c>
      <c r="G31" s="47" t="s">
        <v>62</v>
      </c>
      <c r="H31" s="50" t="s">
        <v>119</v>
      </c>
      <c r="I31" s="47" t="s">
        <v>118</v>
      </c>
      <c r="J31" s="47" t="s">
        <v>11</v>
      </c>
      <c r="K31" s="36"/>
      <c r="L31" s="37"/>
      <c r="M31" s="37"/>
      <c r="N31" s="38"/>
      <c r="O31" s="37"/>
      <c r="P31" s="37"/>
      <c r="Q31" s="36"/>
      <c r="R31" s="36"/>
      <c r="S31" s="36"/>
    </row>
    <row r="32" spans="1:19" s="39" customFormat="1" ht="16.5" x14ac:dyDescent="0.3">
      <c r="A32" s="34">
        <v>24</v>
      </c>
      <c r="B32" s="47" t="s">
        <v>120</v>
      </c>
      <c r="C32" s="47" t="s">
        <v>121</v>
      </c>
      <c r="D32" s="47" t="s">
        <v>67</v>
      </c>
      <c r="E32" s="47">
        <v>50</v>
      </c>
      <c r="F32" s="47"/>
      <c r="G32" s="47" t="s">
        <v>62</v>
      </c>
      <c r="H32" s="48">
        <v>1</v>
      </c>
      <c r="I32" s="47" t="s">
        <v>120</v>
      </c>
      <c r="J32" s="47" t="s">
        <v>11</v>
      </c>
      <c r="K32" s="36"/>
      <c r="L32" s="37"/>
      <c r="M32" s="37"/>
      <c r="N32" s="38"/>
      <c r="O32" s="37"/>
      <c r="P32" s="37"/>
      <c r="Q32" s="36"/>
      <c r="R32" s="36"/>
      <c r="S32" s="36"/>
    </row>
    <row r="33" spans="1:19" s="39" customFormat="1" ht="16.5" x14ac:dyDescent="0.3">
      <c r="A33" s="34">
        <v>25</v>
      </c>
      <c r="B33" s="47" t="s">
        <v>122</v>
      </c>
      <c r="C33" s="47" t="s">
        <v>123</v>
      </c>
      <c r="D33" s="47" t="s">
        <v>67</v>
      </c>
      <c r="E33" s="47">
        <v>50</v>
      </c>
      <c r="F33" s="47"/>
      <c r="G33" s="47" t="s">
        <v>62</v>
      </c>
      <c r="H33" s="50" t="s">
        <v>124</v>
      </c>
      <c r="I33" s="47" t="s">
        <v>122</v>
      </c>
      <c r="J33" s="47" t="s">
        <v>11</v>
      </c>
      <c r="K33" s="36"/>
      <c r="L33" s="37"/>
      <c r="M33" s="37"/>
      <c r="N33" s="38"/>
      <c r="O33" s="37"/>
      <c r="P33" s="37"/>
      <c r="Q33" s="36"/>
      <c r="R33" s="36"/>
      <c r="S33" s="36"/>
    </row>
    <row r="34" spans="1:19" s="39" customFormat="1" ht="16.5" x14ac:dyDescent="0.3">
      <c r="A34" s="34">
        <v>26</v>
      </c>
      <c r="B34" s="47" t="s">
        <v>125</v>
      </c>
      <c r="C34" s="47" t="s">
        <v>126</v>
      </c>
      <c r="D34" s="47" t="s">
        <v>67</v>
      </c>
      <c r="E34" s="47">
        <v>50</v>
      </c>
      <c r="F34" s="47"/>
      <c r="G34" s="47" t="s">
        <v>62</v>
      </c>
      <c r="H34" s="48" t="s">
        <v>127</v>
      </c>
      <c r="I34" s="47" t="s">
        <v>125</v>
      </c>
      <c r="J34" s="47" t="s">
        <v>11</v>
      </c>
      <c r="K34" s="36"/>
      <c r="L34" s="37"/>
      <c r="M34" s="37"/>
      <c r="N34" s="38"/>
      <c r="O34" s="37"/>
      <c r="P34" s="37"/>
      <c r="Q34" s="36"/>
      <c r="R34" s="36"/>
      <c r="S34" s="36"/>
    </row>
    <row r="35" spans="1:19" ht="16.5" x14ac:dyDescent="0.3">
      <c r="A35" s="51"/>
      <c r="B35" s="52"/>
      <c r="C35" s="53"/>
      <c r="D35" s="54"/>
      <c r="E35" s="53"/>
      <c r="F35" s="53"/>
      <c r="G35" s="53"/>
      <c r="H35" s="52"/>
      <c r="I35" s="52"/>
      <c r="J35" s="51"/>
      <c r="K35" s="36"/>
      <c r="L35" s="37"/>
      <c r="M35" s="37"/>
      <c r="N35" s="38"/>
      <c r="O35" s="37"/>
      <c r="P35" s="37"/>
      <c r="Q35" s="4"/>
      <c r="R35" s="4"/>
      <c r="S35" s="4"/>
    </row>
    <row r="36" spans="1:19" ht="16.5" x14ac:dyDescent="0.3">
      <c r="A36" s="25"/>
      <c r="B36" s="26"/>
      <c r="C36"/>
      <c r="D36"/>
      <c r="E36"/>
      <c r="F36"/>
      <c r="G36"/>
      <c r="H36" s="26"/>
      <c r="I36" s="26"/>
      <c r="J36" s="25"/>
      <c r="K36" s="36"/>
      <c r="L36" s="37"/>
      <c r="M36" s="37"/>
      <c r="N36" s="38"/>
      <c r="O36" s="37"/>
      <c r="P36" s="37"/>
      <c r="Q36" s="4"/>
      <c r="R36" s="4"/>
      <c r="S36" s="4"/>
    </row>
    <row r="37" spans="1:19" s="59" customFormat="1" ht="16.5" x14ac:dyDescent="0.3">
      <c r="A37" s="55"/>
      <c r="B37" s="56" t="s">
        <v>128</v>
      </c>
      <c r="C37" s="56"/>
      <c r="D37" s="56" t="s">
        <v>129</v>
      </c>
      <c r="E37" s="56"/>
      <c r="F37" s="57"/>
      <c r="G37" s="57"/>
      <c r="H37" s="55"/>
      <c r="I37" s="56" t="s">
        <v>48</v>
      </c>
      <c r="J37" s="58" t="s">
        <v>130</v>
      </c>
      <c r="K37" s="36"/>
      <c r="L37" s="37"/>
      <c r="M37" s="37"/>
      <c r="N37" s="38"/>
      <c r="O37" s="37"/>
      <c r="P37" s="37"/>
      <c r="Q37" s="36"/>
      <c r="R37" s="70"/>
      <c r="S37" s="70"/>
    </row>
    <row r="38" spans="1:19" s="59" customFormat="1" ht="16.5" x14ac:dyDescent="0.3">
      <c r="A38" s="55"/>
      <c r="B38" s="56" t="s">
        <v>131</v>
      </c>
      <c r="C38" s="56"/>
      <c r="D38" s="56"/>
      <c r="E38" s="56"/>
      <c r="F38" s="56"/>
      <c r="G38" s="56"/>
      <c r="H38" s="56"/>
      <c r="I38" s="56"/>
      <c r="J38" s="55"/>
      <c r="K38" s="36"/>
      <c r="L38" s="37"/>
      <c r="M38" s="37"/>
      <c r="N38" s="38"/>
      <c r="O38" s="37"/>
      <c r="P38" s="37"/>
      <c r="Q38" s="36"/>
      <c r="R38" s="70"/>
      <c r="S38" s="70"/>
    </row>
    <row r="39" spans="1:19" s="39" customFormat="1" ht="16.5" x14ac:dyDescent="0.3">
      <c r="A39" s="29" t="s">
        <v>0</v>
      </c>
      <c r="B39" s="29" t="s">
        <v>132</v>
      </c>
      <c r="C39" s="29" t="s">
        <v>23</v>
      </c>
      <c r="D39" s="29" t="s">
        <v>51</v>
      </c>
      <c r="E39" s="29" t="s">
        <v>52</v>
      </c>
      <c r="F39" s="29" t="s">
        <v>26</v>
      </c>
      <c r="G39" s="29" t="s">
        <v>54</v>
      </c>
      <c r="H39" s="30" t="s">
        <v>55</v>
      </c>
      <c r="I39" s="29" t="s">
        <v>56</v>
      </c>
      <c r="J39" s="29" t="s">
        <v>57</v>
      </c>
      <c r="K39" s="36"/>
      <c r="L39" s="37"/>
      <c r="M39" s="37"/>
      <c r="N39" s="38"/>
      <c r="O39" s="37"/>
      <c r="P39" s="37"/>
      <c r="Q39" s="36"/>
      <c r="R39" s="36"/>
      <c r="S39" s="36"/>
    </row>
    <row r="40" spans="1:19" s="59" customFormat="1" ht="16.5" x14ac:dyDescent="0.3">
      <c r="A40" s="60">
        <v>1</v>
      </c>
      <c r="B40" s="61" t="s">
        <v>133</v>
      </c>
      <c r="C40" s="61" t="s">
        <v>134</v>
      </c>
      <c r="D40" s="61" t="s">
        <v>135</v>
      </c>
      <c r="E40" s="62"/>
      <c r="F40" s="61"/>
      <c r="G40" s="61"/>
      <c r="H40" s="63"/>
      <c r="I40" s="61" t="s">
        <v>133</v>
      </c>
      <c r="J40" s="61" t="s">
        <v>136</v>
      </c>
      <c r="K40" s="36"/>
      <c r="L40" s="37"/>
      <c r="M40" s="37"/>
      <c r="N40" s="38"/>
      <c r="O40" s="37"/>
      <c r="P40" s="37"/>
      <c r="Q40" s="36"/>
      <c r="R40" s="70"/>
      <c r="S40" s="70"/>
    </row>
    <row r="41" spans="1:19" s="59" customFormat="1" ht="16.5" x14ac:dyDescent="0.3">
      <c r="A41" s="60">
        <v>2</v>
      </c>
      <c r="B41" s="61" t="s">
        <v>133</v>
      </c>
      <c r="C41" s="61" t="s">
        <v>137</v>
      </c>
      <c r="D41" s="61" t="s">
        <v>135</v>
      </c>
      <c r="E41" s="62"/>
      <c r="F41" s="61"/>
      <c r="G41" s="61"/>
      <c r="H41" s="63"/>
      <c r="I41" s="61" t="s">
        <v>133</v>
      </c>
      <c r="J41" s="61" t="s">
        <v>11</v>
      </c>
      <c r="K41" s="36"/>
      <c r="L41" s="37"/>
      <c r="M41" s="37"/>
      <c r="N41" s="38"/>
      <c r="O41" s="37"/>
      <c r="P41" s="37"/>
      <c r="Q41" s="36"/>
      <c r="R41" s="70"/>
      <c r="S41" s="70"/>
    </row>
    <row r="42" spans="1:19" s="59" customFormat="1" ht="16.5" x14ac:dyDescent="0.3">
      <c r="A42" s="64"/>
      <c r="B42" s="65"/>
      <c r="J42" s="64"/>
      <c r="K42" s="36"/>
      <c r="L42" s="37"/>
      <c r="M42" s="37"/>
      <c r="N42" s="38"/>
      <c r="O42" s="37"/>
      <c r="P42" s="37"/>
      <c r="Q42" s="36"/>
      <c r="R42" s="70"/>
      <c r="S42" s="70"/>
    </row>
    <row r="43" spans="1:19" s="59" customFormat="1" ht="16.5" x14ac:dyDescent="0.3">
      <c r="A43" s="64"/>
      <c r="J43" s="64"/>
      <c r="K43" s="36"/>
      <c r="L43" s="37"/>
      <c r="M43" s="37"/>
      <c r="N43" s="38"/>
      <c r="O43" s="37"/>
      <c r="P43" s="37"/>
      <c r="Q43" s="36"/>
      <c r="R43" s="70"/>
      <c r="S43" s="70"/>
    </row>
    <row r="44" spans="1:19" s="59" customFormat="1" ht="16.5" x14ac:dyDescent="0.3">
      <c r="A44" s="55"/>
      <c r="B44" s="56" t="s">
        <v>138</v>
      </c>
      <c r="C44" s="56"/>
      <c r="D44" s="56" t="s">
        <v>139</v>
      </c>
      <c r="E44" s="56"/>
      <c r="F44" s="57"/>
      <c r="G44" s="57"/>
      <c r="H44" s="55"/>
      <c r="I44" s="56" t="s">
        <v>48</v>
      </c>
      <c r="J44" s="58" t="s">
        <v>130</v>
      </c>
      <c r="K44" s="36"/>
      <c r="L44" s="37"/>
      <c r="M44" s="37"/>
      <c r="N44" s="38"/>
      <c r="O44" s="37"/>
      <c r="P44" s="37"/>
      <c r="Q44" s="36"/>
      <c r="R44" s="70"/>
      <c r="S44" s="70"/>
    </row>
    <row r="45" spans="1:19" s="59" customFormat="1" ht="16.5" x14ac:dyDescent="0.3">
      <c r="A45" s="55"/>
      <c r="B45" s="56" t="s">
        <v>131</v>
      </c>
      <c r="C45" s="56"/>
      <c r="D45" s="56"/>
      <c r="E45" s="56"/>
      <c r="F45" s="56"/>
      <c r="G45" s="56"/>
      <c r="H45" s="56"/>
      <c r="I45" s="56"/>
      <c r="J45" s="55"/>
      <c r="K45" s="36"/>
      <c r="L45" s="37"/>
      <c r="M45" s="37"/>
      <c r="N45" s="38"/>
      <c r="O45" s="37"/>
      <c r="P45" s="37"/>
      <c r="Q45" s="36"/>
      <c r="R45" s="70"/>
      <c r="S45" s="70"/>
    </row>
    <row r="46" spans="1:19" s="39" customFormat="1" ht="16.5" x14ac:dyDescent="0.3">
      <c r="A46" s="29" t="s">
        <v>0</v>
      </c>
      <c r="B46" s="29" t="s">
        <v>132</v>
      </c>
      <c r="C46" s="29" t="s">
        <v>23</v>
      </c>
      <c r="D46" s="29" t="s">
        <v>51</v>
      </c>
      <c r="E46" s="29" t="s">
        <v>52</v>
      </c>
      <c r="F46" s="29" t="s">
        <v>26</v>
      </c>
      <c r="G46" s="29" t="s">
        <v>54</v>
      </c>
      <c r="H46" s="30" t="s">
        <v>55</v>
      </c>
      <c r="I46" s="29" t="s">
        <v>56</v>
      </c>
      <c r="J46" s="29" t="s">
        <v>57</v>
      </c>
      <c r="K46" s="36"/>
      <c r="L46" s="37"/>
      <c r="M46" s="37"/>
      <c r="N46" s="38"/>
      <c r="O46" s="37"/>
      <c r="P46" s="37"/>
      <c r="Q46" s="36"/>
      <c r="R46" s="36"/>
      <c r="S46" s="36"/>
    </row>
    <row r="47" spans="1:19" s="59" customFormat="1" ht="16.5" x14ac:dyDescent="0.3">
      <c r="A47" s="60">
        <v>1</v>
      </c>
      <c r="B47" s="61" t="s">
        <v>140</v>
      </c>
      <c r="C47" s="61" t="s">
        <v>141</v>
      </c>
      <c r="D47" s="61" t="s">
        <v>135</v>
      </c>
      <c r="E47" s="62"/>
      <c r="F47" s="61"/>
      <c r="G47" s="61"/>
      <c r="H47" s="63"/>
      <c r="I47" s="61" t="s">
        <v>140</v>
      </c>
      <c r="J47" s="61" t="s">
        <v>142</v>
      </c>
      <c r="K47" s="36"/>
      <c r="L47" s="37"/>
      <c r="M47" s="37"/>
      <c r="N47" s="38"/>
      <c r="O47" s="37"/>
      <c r="P47" s="37"/>
      <c r="Q47" s="36"/>
      <c r="R47" s="70"/>
      <c r="S47" s="70"/>
    </row>
    <row r="48" spans="1:19" s="59" customFormat="1" ht="16.5" x14ac:dyDescent="0.3">
      <c r="A48" s="60">
        <v>2</v>
      </c>
      <c r="B48" s="61" t="s">
        <v>143</v>
      </c>
      <c r="C48" s="61" t="s">
        <v>144</v>
      </c>
      <c r="D48" s="61" t="s">
        <v>135</v>
      </c>
      <c r="E48" s="62"/>
      <c r="F48" s="61"/>
      <c r="G48" s="61"/>
      <c r="H48" s="63"/>
      <c r="I48" s="61" t="s">
        <v>143</v>
      </c>
      <c r="J48" s="61" t="s">
        <v>11</v>
      </c>
      <c r="K48" s="36"/>
      <c r="L48" s="37"/>
      <c r="M48" s="37"/>
      <c r="N48" s="38"/>
      <c r="O48" s="37"/>
      <c r="P48" s="37"/>
      <c r="Q48" s="36"/>
      <c r="R48" s="70"/>
      <c r="S48" s="70"/>
    </row>
    <row r="49" spans="1:19" s="59" customFormat="1" ht="16.5" x14ac:dyDescent="0.3">
      <c r="A49" s="64"/>
      <c r="J49" s="64"/>
      <c r="K49" s="36"/>
      <c r="L49" s="37"/>
      <c r="M49" s="37"/>
      <c r="N49" s="38"/>
      <c r="O49" s="37"/>
      <c r="P49" s="37"/>
      <c r="Q49" s="36"/>
      <c r="R49" s="70"/>
      <c r="S49" s="70"/>
    </row>
    <row r="50" spans="1:19" s="59" customFormat="1" ht="16.5" x14ac:dyDescent="0.3">
      <c r="A50" s="64"/>
      <c r="J50" s="64"/>
      <c r="K50" s="36"/>
      <c r="L50" s="37"/>
      <c r="M50" s="37"/>
      <c r="N50" s="38"/>
      <c r="O50" s="37"/>
      <c r="P50" s="37"/>
      <c r="Q50" s="36"/>
      <c r="R50" s="70"/>
      <c r="S50" s="70"/>
    </row>
    <row r="51" spans="1:19" s="59" customFormat="1" ht="16.5" x14ac:dyDescent="0.3">
      <c r="A51" s="55"/>
      <c r="B51" s="56" t="s">
        <v>145</v>
      </c>
      <c r="C51" s="56"/>
      <c r="D51" s="56" t="s">
        <v>146</v>
      </c>
      <c r="E51" s="56"/>
      <c r="F51" s="57"/>
      <c r="G51" s="57"/>
      <c r="H51" s="55"/>
      <c r="I51" s="56" t="s">
        <v>48</v>
      </c>
      <c r="J51" s="58" t="s">
        <v>130</v>
      </c>
      <c r="K51" s="36"/>
      <c r="L51" s="37"/>
      <c r="M51" s="37"/>
      <c r="N51" s="38"/>
      <c r="O51" s="37"/>
      <c r="P51" s="37"/>
      <c r="Q51" s="36"/>
      <c r="R51" s="70"/>
      <c r="S51" s="70"/>
    </row>
    <row r="52" spans="1:19" s="59" customFormat="1" ht="16.5" x14ac:dyDescent="0.3">
      <c r="A52" s="55"/>
      <c r="B52" s="56" t="s">
        <v>131</v>
      </c>
      <c r="C52" s="56"/>
      <c r="D52" s="56"/>
      <c r="E52" s="56"/>
      <c r="F52" s="56"/>
      <c r="G52" s="56"/>
      <c r="H52" s="56"/>
      <c r="I52" s="56"/>
      <c r="J52" s="55"/>
      <c r="K52" s="36"/>
      <c r="L52" s="37"/>
      <c r="M52" s="37"/>
      <c r="N52" s="38"/>
      <c r="O52" s="37"/>
      <c r="P52" s="37"/>
      <c r="Q52" s="36"/>
      <c r="R52" s="70"/>
      <c r="S52" s="70"/>
    </row>
    <row r="53" spans="1:19" s="39" customFormat="1" ht="16.5" x14ac:dyDescent="0.3">
      <c r="A53" s="29" t="s">
        <v>0</v>
      </c>
      <c r="B53" s="29" t="s">
        <v>132</v>
      </c>
      <c r="C53" s="29" t="s">
        <v>23</v>
      </c>
      <c r="D53" s="29" t="s">
        <v>51</v>
      </c>
      <c r="E53" s="29" t="s">
        <v>52</v>
      </c>
      <c r="F53" s="29" t="s">
        <v>26</v>
      </c>
      <c r="G53" s="29" t="s">
        <v>54</v>
      </c>
      <c r="H53" s="30" t="s">
        <v>55</v>
      </c>
      <c r="I53" s="29" t="s">
        <v>56</v>
      </c>
      <c r="J53" s="29" t="s">
        <v>57</v>
      </c>
      <c r="K53" s="36"/>
      <c r="L53" s="37"/>
      <c r="M53" s="37"/>
      <c r="N53" s="38"/>
      <c r="O53" s="37"/>
      <c r="P53" s="37"/>
      <c r="Q53" s="36"/>
      <c r="R53" s="36"/>
      <c r="S53" s="36"/>
    </row>
    <row r="54" spans="1:19" s="59" customFormat="1" ht="16.5" x14ac:dyDescent="0.3">
      <c r="A54" s="60">
        <v>1</v>
      </c>
      <c r="B54" s="61" t="s">
        <v>140</v>
      </c>
      <c r="C54" s="61" t="s">
        <v>141</v>
      </c>
      <c r="D54" s="61" t="s">
        <v>135</v>
      </c>
      <c r="E54" s="62"/>
      <c r="F54" s="61"/>
      <c r="G54" s="61"/>
      <c r="H54" s="63"/>
      <c r="I54" s="61" t="s">
        <v>140</v>
      </c>
      <c r="J54" s="61" t="s">
        <v>142</v>
      </c>
      <c r="K54" s="36"/>
      <c r="L54" s="37"/>
      <c r="M54" s="37"/>
      <c r="N54" s="38"/>
      <c r="O54" s="37"/>
      <c r="P54" s="37"/>
      <c r="Q54" s="36"/>
      <c r="R54" s="70"/>
      <c r="S54" s="70"/>
    </row>
    <row r="55" spans="1:19" s="59" customFormat="1" ht="16.5" x14ac:dyDescent="0.3">
      <c r="A55" s="60">
        <v>2</v>
      </c>
      <c r="B55" s="61" t="s">
        <v>143</v>
      </c>
      <c r="C55" s="61" t="s">
        <v>144</v>
      </c>
      <c r="D55" s="61" t="s">
        <v>135</v>
      </c>
      <c r="E55" s="62"/>
      <c r="F55" s="61"/>
      <c r="G55" s="61"/>
      <c r="H55" s="63"/>
      <c r="I55" s="61" t="s">
        <v>143</v>
      </c>
      <c r="J55" s="61" t="s">
        <v>11</v>
      </c>
      <c r="K55" s="36"/>
      <c r="L55" s="37"/>
      <c r="M55" s="37"/>
      <c r="N55" s="38"/>
      <c r="O55" s="37"/>
      <c r="P55" s="37"/>
      <c r="Q55" s="36"/>
      <c r="R55" s="70"/>
      <c r="S55" s="70"/>
    </row>
  </sheetData>
  <phoneticPr fontId="1" type="noConversion"/>
  <conditionalFormatting sqref="C14:C15">
    <cfRule type="duplicateValues" dxfId="4" priority="3"/>
  </conditionalFormatting>
  <conditionalFormatting sqref="C16">
    <cfRule type="duplicateValues" dxfId="3" priority="2"/>
  </conditionalFormatting>
  <conditionalFormatting sqref="C17">
    <cfRule type="duplicateValues" dxfId="2" priority="1"/>
  </conditionalFormatting>
  <conditionalFormatting sqref="C36">
    <cfRule type="duplicateValues" dxfId="1" priority="5"/>
  </conditionalFormatting>
  <conditionalFormatting sqref="R22">
    <cfRule type="duplicateValues" dxfId="0" priority="4"/>
  </conditionalFormatting>
  <dataValidations count="2">
    <dataValidation type="list" allowBlank="1" showInputMessage="1" showErrorMessage="1" sqref="J4 J23 J9 J18 J28 J37 J44 J51 J34" xr:uid="{00000000-0002-0000-0100-000000000000}">
      <formula1>"创建表,修改表,删除表"</formula1>
    </dataValidation>
    <dataValidation type="list" allowBlank="1" showInputMessage="1" showErrorMessage="1" sqref="J7 J21 J26 J54:J55 J35 J40:J41 J47:J48 J31 J33 J13:J17" xr:uid="{00000000-0002-0000-0100-000001000000}">
      <formula1>"新增,修改,删除"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5"/>
  <sheetViews>
    <sheetView showGridLines="0" tabSelected="1" workbookViewId="0">
      <selection activeCell="I7" sqref="I7"/>
    </sheetView>
  </sheetViews>
  <sheetFormatPr defaultColWidth="9" defaultRowHeight="14.25" x14ac:dyDescent="0.3"/>
  <cols>
    <col min="1" max="1" width="3.125" style="3" customWidth="1"/>
    <col min="2" max="2" width="4.5" style="3" bestFit="1" customWidth="1"/>
    <col min="3" max="3" width="34.5" style="3" customWidth="1"/>
    <col min="4" max="4" width="18.75" style="3" bestFit="1" customWidth="1"/>
    <col min="5" max="5" width="34.625" style="3" customWidth="1"/>
    <col min="6" max="6" width="10.5" style="3" customWidth="1"/>
    <col min="7" max="7" width="7.5" style="3" customWidth="1"/>
    <col min="8" max="8" width="9" style="3"/>
    <col min="9" max="9" width="78.375" style="3" customWidth="1"/>
    <col min="10" max="16384" width="9" style="3"/>
  </cols>
  <sheetData>
    <row r="2" spans="2:9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2" t="s">
        <v>7</v>
      </c>
    </row>
    <row r="3" spans="2:9" ht="28.5" x14ac:dyDescent="0.3">
      <c r="B3" s="4">
        <v>1</v>
      </c>
      <c r="C3" s="5"/>
      <c r="D3" s="6" t="s">
        <v>8</v>
      </c>
      <c r="E3" s="7" t="s">
        <v>9</v>
      </c>
      <c r="F3" s="8" t="s">
        <v>10</v>
      </c>
      <c r="G3" s="8" t="s">
        <v>10</v>
      </c>
      <c r="H3" s="8" t="s">
        <v>11</v>
      </c>
      <c r="I3" s="9" t="str">
        <f>IF(G3="是",IF(H3="新增",CONCATENATE("alter table ",C3," add primary key (",D3,");"),CONCATENATE("alter table ",C3," DROP CONSTRAINT ",E3,";")),
IF(F3="是",IF(H3="新增",CONCATENATE("CREATE UNIQUE INDEX ",E3," ON public. ",C3," (",D3,");"),CONCATENATE("DROP INDEX ",E3,";")),
IF(H3="新增",CONCATENATE("CREATE INDEX ",E3," ON public. ",C3," (",D3,");"),CONCATENATE("DROP  index ",E3,";"))))</f>
        <v>CREATE INDEX IDX_DLR3 ON public.  (DLR_ID,CREATED_DATE,ACCOUNT_INFO_CODE);</v>
      </c>
    </row>
    <row r="4" spans="2:9" ht="28.5" x14ac:dyDescent="0.3">
      <c r="B4" s="4">
        <v>2</v>
      </c>
      <c r="C4" s="5"/>
      <c r="D4" s="6" t="s">
        <v>12</v>
      </c>
      <c r="E4" s="10" t="s">
        <v>13</v>
      </c>
      <c r="F4" s="4" t="s">
        <v>14</v>
      </c>
      <c r="G4" s="8" t="s">
        <v>10</v>
      </c>
      <c r="H4" s="8" t="s">
        <v>11</v>
      </c>
      <c r="I4" s="9" t="str">
        <f t="shared" ref="I4:I7" si="0">IF(G4="是",IF(H4="新增",CONCATENATE("alter table ",C4," add primary key (",D4,");"),CONCATENATE("alter table ",C4," DROP CONSTRAINT ",E4,";")),
IF(F4="是",IF(H4="新增",CONCATENATE("CREATE UNIQUE INDEX ",E4," ON public. ",C4," (",D4,");"),CONCATENATE("DROP INDEX ",E4,";")),
IF(H4="新增",CONCATENATE("CREATE INDEX ",E4," ON public. ",C4," (",D4,");"),CONCATENATE("DROP  index ",E4,";"))))</f>
        <v>CREATE UNIQUE INDEX UK_ACCOUNT_INFO_CODE2 ON public.  (ACCOUNT_INFO_CODE,MODULE_CODE);</v>
      </c>
    </row>
    <row r="5" spans="2:9" x14ac:dyDescent="0.3">
      <c r="B5" s="4">
        <v>3</v>
      </c>
      <c r="C5" s="5"/>
      <c r="D5" s="11" t="s">
        <v>15</v>
      </c>
      <c r="E5" s="11" t="s">
        <v>16</v>
      </c>
      <c r="F5" s="12" t="s">
        <v>10</v>
      </c>
      <c r="G5" s="12" t="s">
        <v>10</v>
      </c>
      <c r="H5" s="12" t="s">
        <v>11</v>
      </c>
      <c r="I5" s="9" t="str">
        <f t="shared" si="0"/>
        <v>CREATE INDEX IDX_CREATED_DATE ON public.  (CREATED_DATE);</v>
      </c>
    </row>
    <row r="6" spans="2:9" x14ac:dyDescent="0.3">
      <c r="B6" s="4">
        <v>4</v>
      </c>
      <c r="C6" s="5"/>
      <c r="D6" s="11" t="s">
        <v>17</v>
      </c>
      <c r="E6" s="11" t="s">
        <v>18</v>
      </c>
      <c r="F6" s="12" t="s">
        <v>10</v>
      </c>
      <c r="G6" s="12" t="s">
        <v>10</v>
      </c>
      <c r="H6" s="12" t="s">
        <v>11</v>
      </c>
      <c r="I6" s="9" t="str">
        <f t="shared" si="0"/>
        <v>CREATE INDEX IDX_LAST_UPDATED_DATE ON public.  (LAST_UPDATED_DATE);</v>
      </c>
    </row>
    <row r="7" spans="2:9" x14ac:dyDescent="0.3">
      <c r="B7" s="4">
        <v>5</v>
      </c>
      <c r="C7" s="5"/>
      <c r="D7" s="13" t="s">
        <v>19</v>
      </c>
      <c r="E7" s="13" t="s">
        <v>20</v>
      </c>
      <c r="F7" s="14" t="s">
        <v>10</v>
      </c>
      <c r="G7" s="12" t="s">
        <v>10</v>
      </c>
      <c r="H7" s="14" t="s">
        <v>11</v>
      </c>
      <c r="I7" s="9" t="str">
        <f t="shared" si="0"/>
        <v>CREATE INDEX IDX_INTERFACE_UPDATE_DATE ON public.  (INTERFACE_UPDATE_DATE);</v>
      </c>
    </row>
    <row r="8" spans="2:9" x14ac:dyDescent="0.3">
      <c r="B8" s="4"/>
      <c r="C8" s="15"/>
      <c r="D8" s="6"/>
      <c r="E8" s="7"/>
      <c r="F8" s="4"/>
      <c r="G8" s="16"/>
      <c r="H8" s="4"/>
      <c r="I8" s="9"/>
    </row>
    <row r="9" spans="2:9" x14ac:dyDescent="0.3">
      <c r="B9" s="4"/>
      <c r="C9" s="15"/>
      <c r="D9" s="6"/>
      <c r="E9" s="7"/>
      <c r="F9" s="4"/>
      <c r="G9" s="16"/>
      <c r="H9" s="4"/>
      <c r="I9" s="9"/>
    </row>
    <row r="10" spans="2:9" x14ac:dyDescent="0.3">
      <c r="B10" s="4"/>
      <c r="C10" s="15"/>
      <c r="D10" s="6"/>
      <c r="E10" s="7"/>
      <c r="F10" s="4"/>
      <c r="G10" s="16"/>
      <c r="H10" s="4"/>
      <c r="I10" s="9"/>
    </row>
    <row r="11" spans="2:9" x14ac:dyDescent="0.3">
      <c r="B11" s="4"/>
      <c r="C11" s="15"/>
      <c r="D11" s="6"/>
      <c r="E11" s="7"/>
      <c r="F11" s="4"/>
      <c r="G11" s="16"/>
      <c r="H11" s="4"/>
      <c r="I11" s="9"/>
    </row>
    <row r="12" spans="2:9" x14ac:dyDescent="0.3">
      <c r="B12" s="4"/>
      <c r="C12" s="15"/>
      <c r="D12" s="6"/>
      <c r="E12" s="7"/>
      <c r="F12" s="4"/>
      <c r="G12" s="16"/>
      <c r="H12" s="4"/>
      <c r="I12" s="9"/>
    </row>
    <row r="13" spans="2:9" x14ac:dyDescent="0.3">
      <c r="B13" s="4"/>
      <c r="C13" s="15"/>
      <c r="D13" s="6"/>
      <c r="E13" s="7"/>
      <c r="F13" s="4"/>
      <c r="G13" s="16"/>
      <c r="H13" s="4"/>
      <c r="I13" s="9"/>
    </row>
    <row r="14" spans="2:9" x14ac:dyDescent="0.3">
      <c r="B14" s="4"/>
      <c r="C14" s="15"/>
      <c r="D14" s="6"/>
      <c r="E14" s="7"/>
      <c r="F14" s="4"/>
      <c r="G14" s="16"/>
      <c r="H14" s="4"/>
      <c r="I14" s="9"/>
    </row>
    <row r="15" spans="2:9" x14ac:dyDescent="0.3">
      <c r="B15" s="4"/>
      <c r="C15" s="15"/>
      <c r="D15" s="6"/>
      <c r="E15" s="7"/>
      <c r="F15" s="4"/>
      <c r="G15" s="16"/>
      <c r="H15" s="4"/>
      <c r="I15" s="9"/>
    </row>
    <row r="16" spans="2:9" x14ac:dyDescent="0.3">
      <c r="B16" s="4"/>
      <c r="C16" s="15"/>
      <c r="D16" s="6"/>
      <c r="E16" s="7"/>
      <c r="F16" s="4"/>
      <c r="G16" s="16"/>
      <c r="H16" s="4"/>
      <c r="I16" s="9"/>
    </row>
    <row r="17" spans="2:9" x14ac:dyDescent="0.3">
      <c r="B17" s="4"/>
      <c r="C17" s="15"/>
      <c r="D17" s="6"/>
      <c r="E17" s="7"/>
      <c r="F17" s="4"/>
      <c r="G17" s="16"/>
      <c r="H17" s="4"/>
      <c r="I17" s="9"/>
    </row>
    <row r="18" spans="2:9" x14ac:dyDescent="0.3">
      <c r="B18" s="4"/>
      <c r="C18" s="15"/>
      <c r="D18" s="6"/>
      <c r="E18" s="7"/>
      <c r="F18" s="4"/>
      <c r="G18" s="16"/>
      <c r="H18" s="4"/>
      <c r="I18" s="9"/>
    </row>
    <row r="19" spans="2:9" x14ac:dyDescent="0.3">
      <c r="B19" s="4"/>
      <c r="C19" s="15"/>
      <c r="D19" s="6"/>
      <c r="E19" s="7"/>
      <c r="F19" s="4"/>
      <c r="G19" s="16"/>
      <c r="H19" s="4"/>
      <c r="I19" s="9"/>
    </row>
    <row r="20" spans="2:9" x14ac:dyDescent="0.3">
      <c r="B20" s="4"/>
      <c r="C20" s="15"/>
      <c r="D20" s="6"/>
      <c r="E20" s="7"/>
      <c r="F20" s="4"/>
      <c r="G20" s="16"/>
      <c r="H20" s="4"/>
      <c r="I20" s="9"/>
    </row>
    <row r="21" spans="2:9" x14ac:dyDescent="0.3">
      <c r="B21" s="4"/>
      <c r="C21" s="15"/>
      <c r="D21" s="6"/>
      <c r="E21" s="7"/>
      <c r="F21" s="4"/>
      <c r="G21" s="16"/>
      <c r="H21" s="4"/>
      <c r="I21" s="9"/>
    </row>
    <row r="22" spans="2:9" x14ac:dyDescent="0.3">
      <c r="B22" s="4"/>
      <c r="C22" s="15"/>
      <c r="D22" s="6"/>
      <c r="E22" s="7"/>
      <c r="F22" s="4"/>
      <c r="G22" s="16"/>
      <c r="H22" s="4"/>
      <c r="I22" s="9"/>
    </row>
    <row r="23" spans="2:9" x14ac:dyDescent="0.3">
      <c r="B23" s="4"/>
      <c r="C23" s="15"/>
      <c r="D23" s="6"/>
      <c r="E23" s="7"/>
      <c r="F23" s="4"/>
      <c r="G23" s="16"/>
      <c r="H23" s="4"/>
      <c r="I23" s="9"/>
    </row>
    <row r="24" spans="2:9" x14ac:dyDescent="0.3">
      <c r="B24" s="4"/>
      <c r="C24" s="15"/>
      <c r="D24" s="6"/>
      <c r="E24" s="7"/>
      <c r="F24" s="4"/>
      <c r="G24" s="16"/>
      <c r="H24" s="4"/>
      <c r="I24" s="9"/>
    </row>
    <row r="25" spans="2:9" x14ac:dyDescent="0.3">
      <c r="B25" s="4"/>
      <c r="C25" s="15"/>
      <c r="D25" s="6"/>
      <c r="E25" s="7"/>
      <c r="F25" s="4"/>
      <c r="G25" s="16"/>
      <c r="H25" s="4"/>
      <c r="I25" s="9"/>
    </row>
    <row r="26" spans="2:9" x14ac:dyDescent="0.3">
      <c r="B26" s="4"/>
      <c r="C26" s="15"/>
      <c r="D26" s="6"/>
      <c r="E26" s="7"/>
      <c r="F26" s="4"/>
      <c r="G26" s="16"/>
      <c r="H26" s="4"/>
      <c r="I26" s="9"/>
    </row>
    <row r="27" spans="2:9" x14ac:dyDescent="0.3">
      <c r="B27" s="4"/>
      <c r="C27" s="15"/>
      <c r="D27" s="6"/>
      <c r="E27" s="7"/>
      <c r="F27" s="4"/>
      <c r="G27" s="16"/>
      <c r="H27" s="4"/>
      <c r="I27" s="9"/>
    </row>
    <row r="28" spans="2:9" x14ac:dyDescent="0.3">
      <c r="B28" s="4"/>
      <c r="C28" s="15"/>
      <c r="D28" s="6"/>
      <c r="E28" s="7"/>
      <c r="F28" s="4"/>
      <c r="G28" s="16"/>
      <c r="H28" s="4"/>
      <c r="I28" s="9"/>
    </row>
    <row r="29" spans="2:9" x14ac:dyDescent="0.3">
      <c r="B29" s="4"/>
      <c r="C29" s="15"/>
      <c r="D29" s="6"/>
      <c r="E29" s="7"/>
      <c r="F29" s="4"/>
      <c r="G29" s="16"/>
      <c r="H29" s="4"/>
      <c r="I29" s="9"/>
    </row>
    <row r="30" spans="2:9" x14ac:dyDescent="0.3">
      <c r="B30" s="4"/>
      <c r="C30" s="15"/>
      <c r="D30" s="6"/>
      <c r="E30" s="7"/>
      <c r="F30" s="4"/>
      <c r="G30" s="16"/>
      <c r="H30" s="4"/>
      <c r="I30" s="9"/>
    </row>
    <row r="31" spans="2:9" x14ac:dyDescent="0.3">
      <c r="B31" s="4"/>
      <c r="C31" s="15"/>
      <c r="D31" s="6"/>
      <c r="E31" s="7"/>
      <c r="F31" s="4"/>
      <c r="G31" s="16"/>
      <c r="H31" s="4"/>
      <c r="I31" s="9"/>
    </row>
    <row r="32" spans="2:9" x14ac:dyDescent="0.3">
      <c r="B32" s="4"/>
      <c r="C32" s="15"/>
      <c r="D32" s="6"/>
      <c r="E32" s="7"/>
      <c r="F32" s="4"/>
      <c r="G32" s="16"/>
      <c r="H32" s="4"/>
      <c r="I32" s="9"/>
    </row>
    <row r="33" spans="2:9" x14ac:dyDescent="0.3">
      <c r="B33" s="4"/>
      <c r="C33" s="15"/>
      <c r="D33" s="6"/>
      <c r="E33" s="7"/>
      <c r="F33" s="4"/>
      <c r="G33" s="16"/>
      <c r="H33" s="4"/>
      <c r="I33" s="9"/>
    </row>
    <row r="34" spans="2:9" x14ac:dyDescent="0.3">
      <c r="B34" s="4"/>
      <c r="C34" s="15"/>
      <c r="D34" s="6"/>
      <c r="E34" s="7"/>
      <c r="F34" s="4"/>
      <c r="G34" s="16"/>
      <c r="H34" s="4"/>
      <c r="I34" s="9"/>
    </row>
    <row r="35" spans="2:9" x14ac:dyDescent="0.3">
      <c r="B35" s="4"/>
      <c r="C35" s="15"/>
      <c r="D35" s="6"/>
      <c r="E35" s="7"/>
      <c r="F35" s="4"/>
      <c r="G35" s="16"/>
      <c r="H35" s="4"/>
      <c r="I35" s="9"/>
    </row>
    <row r="36" spans="2:9" x14ac:dyDescent="0.3">
      <c r="B36" s="4"/>
      <c r="C36" s="15"/>
      <c r="D36" s="6"/>
      <c r="E36" s="7"/>
      <c r="F36" s="4"/>
      <c r="G36" s="16"/>
      <c r="H36" s="4"/>
      <c r="I36" s="9"/>
    </row>
    <row r="37" spans="2:9" x14ac:dyDescent="0.3">
      <c r="B37" s="4"/>
      <c r="C37" s="15"/>
      <c r="D37" s="6"/>
      <c r="E37" s="7"/>
      <c r="F37" s="4"/>
      <c r="G37" s="16"/>
      <c r="H37" s="4"/>
      <c r="I37" s="9"/>
    </row>
    <row r="38" spans="2:9" x14ac:dyDescent="0.3">
      <c r="B38" s="4"/>
      <c r="C38" s="15"/>
      <c r="D38" s="6"/>
      <c r="E38" s="7"/>
      <c r="F38" s="4"/>
      <c r="G38" s="16"/>
      <c r="H38" s="4"/>
      <c r="I38" s="9"/>
    </row>
    <row r="39" spans="2:9" x14ac:dyDescent="0.3">
      <c r="B39" s="4"/>
      <c r="C39" s="15"/>
      <c r="D39" s="6"/>
      <c r="E39" s="7"/>
      <c r="F39" s="4"/>
      <c r="G39" s="16"/>
      <c r="H39" s="4"/>
      <c r="I39" s="9"/>
    </row>
    <row r="40" spans="2:9" x14ac:dyDescent="0.3">
      <c r="B40" s="4"/>
      <c r="C40" s="15"/>
      <c r="D40" s="6"/>
      <c r="E40" s="7"/>
      <c r="F40" s="4"/>
      <c r="G40" s="16"/>
      <c r="H40" s="4"/>
      <c r="I40" s="9"/>
    </row>
    <row r="41" spans="2:9" x14ac:dyDescent="0.3">
      <c r="B41" s="4"/>
      <c r="C41" s="15"/>
      <c r="D41" s="6"/>
      <c r="E41" s="7"/>
      <c r="F41" s="4"/>
      <c r="G41" s="16"/>
      <c r="H41" s="4"/>
      <c r="I41" s="9"/>
    </row>
    <row r="42" spans="2:9" x14ac:dyDescent="0.3">
      <c r="B42" s="4"/>
      <c r="C42" s="15"/>
      <c r="D42" s="6"/>
      <c r="E42" s="7"/>
      <c r="F42" s="4"/>
      <c r="G42" s="16"/>
      <c r="H42" s="4"/>
      <c r="I42" s="9"/>
    </row>
    <row r="43" spans="2:9" x14ac:dyDescent="0.3">
      <c r="B43" s="4"/>
      <c r="C43" s="15"/>
      <c r="D43" s="6"/>
      <c r="E43" s="7"/>
      <c r="F43" s="4"/>
      <c r="G43" s="16"/>
      <c r="H43" s="4"/>
      <c r="I43" s="9"/>
    </row>
    <row r="44" spans="2:9" x14ac:dyDescent="0.3">
      <c r="B44" s="4"/>
      <c r="C44" s="15"/>
      <c r="D44" s="6"/>
      <c r="E44" s="7"/>
      <c r="F44" s="4"/>
      <c r="G44" s="16"/>
      <c r="H44" s="4"/>
      <c r="I44" s="9"/>
    </row>
    <row r="45" spans="2:9" x14ac:dyDescent="0.3">
      <c r="B45" s="4"/>
      <c r="C45" s="15"/>
      <c r="D45" s="6"/>
      <c r="E45" s="7"/>
      <c r="F45" s="4"/>
      <c r="G45" s="16"/>
      <c r="H45" s="4"/>
      <c r="I45" s="9"/>
    </row>
    <row r="46" spans="2:9" x14ac:dyDescent="0.3">
      <c r="B46" s="4"/>
      <c r="C46" s="15"/>
      <c r="D46" s="6"/>
      <c r="E46" s="7"/>
      <c r="F46" s="4"/>
      <c r="G46" s="16"/>
      <c r="H46" s="4"/>
      <c r="I46" s="9"/>
    </row>
    <row r="47" spans="2:9" x14ac:dyDescent="0.3">
      <c r="B47" s="4"/>
      <c r="C47" s="15"/>
      <c r="D47" s="6"/>
      <c r="E47" s="7"/>
      <c r="F47" s="4"/>
      <c r="G47" s="16"/>
      <c r="H47" s="4"/>
      <c r="I47" s="9"/>
    </row>
    <row r="48" spans="2:9" x14ac:dyDescent="0.3">
      <c r="B48" s="4"/>
      <c r="C48" s="15"/>
      <c r="D48" s="6"/>
      <c r="E48" s="7"/>
      <c r="F48" s="4"/>
      <c r="G48" s="16"/>
      <c r="H48" s="4"/>
      <c r="I48" s="9"/>
    </row>
    <row r="49" spans="2:9" x14ac:dyDescent="0.3">
      <c r="B49" s="4"/>
      <c r="C49" s="15"/>
      <c r="D49" s="6"/>
      <c r="E49" s="7"/>
      <c r="F49" s="4"/>
      <c r="G49" s="16"/>
      <c r="H49" s="4"/>
      <c r="I49" s="9"/>
    </row>
    <row r="50" spans="2:9" x14ac:dyDescent="0.3">
      <c r="B50" s="4"/>
      <c r="C50" s="15"/>
      <c r="D50" s="6"/>
      <c r="E50" s="7"/>
      <c r="F50" s="4"/>
      <c r="G50" s="16"/>
      <c r="H50" s="4"/>
      <c r="I50" s="9"/>
    </row>
    <row r="51" spans="2:9" x14ac:dyDescent="0.3">
      <c r="B51" s="4"/>
      <c r="C51" s="15"/>
      <c r="D51" s="6"/>
      <c r="E51" s="7"/>
      <c r="F51" s="4"/>
      <c r="G51" s="16"/>
      <c r="H51" s="4"/>
      <c r="I51" s="9"/>
    </row>
    <row r="52" spans="2:9" x14ac:dyDescent="0.3">
      <c r="B52" s="4"/>
      <c r="C52" s="15"/>
      <c r="D52" s="6"/>
      <c r="E52" s="7"/>
      <c r="F52" s="4"/>
      <c r="G52" s="16"/>
      <c r="H52" s="4"/>
      <c r="I52" s="9"/>
    </row>
    <row r="53" spans="2:9" x14ac:dyDescent="0.3">
      <c r="B53" s="4"/>
      <c r="C53" s="15"/>
      <c r="D53" s="6"/>
      <c r="E53" s="7"/>
      <c r="F53" s="4"/>
      <c r="G53" s="16"/>
      <c r="H53" s="4"/>
      <c r="I53" s="9"/>
    </row>
    <row r="54" spans="2:9" x14ac:dyDescent="0.3">
      <c r="B54" s="4"/>
      <c r="C54" s="15"/>
      <c r="D54" s="6"/>
      <c r="E54" s="7"/>
      <c r="F54" s="4"/>
      <c r="G54" s="16"/>
      <c r="H54" s="4"/>
      <c r="I54" s="9"/>
    </row>
    <row r="55" spans="2:9" x14ac:dyDescent="0.3">
      <c r="B55" s="4"/>
      <c r="C55" s="15"/>
      <c r="D55" s="6"/>
      <c r="E55" s="7"/>
      <c r="F55" s="4"/>
      <c r="G55" s="16"/>
      <c r="H55" s="4"/>
      <c r="I55" s="9"/>
    </row>
    <row r="56" spans="2:9" x14ac:dyDescent="0.3">
      <c r="B56" s="4"/>
      <c r="C56" s="15"/>
      <c r="D56" s="6"/>
      <c r="E56" s="7"/>
      <c r="F56" s="4"/>
      <c r="G56" s="16"/>
      <c r="H56" s="4"/>
      <c r="I56" s="9"/>
    </row>
    <row r="57" spans="2:9" x14ac:dyDescent="0.3">
      <c r="B57" s="4"/>
      <c r="C57" s="15"/>
      <c r="D57" s="6"/>
      <c r="E57" s="7"/>
      <c r="F57" s="4"/>
      <c r="G57" s="16"/>
      <c r="H57" s="4"/>
      <c r="I57" s="9"/>
    </row>
    <row r="58" spans="2:9" x14ac:dyDescent="0.3">
      <c r="B58" s="4"/>
      <c r="C58" s="15"/>
      <c r="D58" s="6"/>
      <c r="E58" s="7"/>
      <c r="F58" s="4"/>
      <c r="G58" s="16"/>
      <c r="H58" s="4"/>
      <c r="I58" s="9"/>
    </row>
    <row r="59" spans="2:9" x14ac:dyDescent="0.3">
      <c r="B59" s="4"/>
      <c r="C59" s="15"/>
      <c r="D59" s="6"/>
      <c r="E59" s="7"/>
      <c r="F59" s="4"/>
      <c r="G59" s="16"/>
      <c r="H59" s="4"/>
      <c r="I59" s="9"/>
    </row>
    <row r="60" spans="2:9" x14ac:dyDescent="0.3">
      <c r="B60" s="4"/>
      <c r="C60" s="15"/>
      <c r="D60" s="6"/>
      <c r="E60" s="7"/>
      <c r="F60" s="4"/>
      <c r="G60" s="16"/>
      <c r="H60" s="4"/>
      <c r="I60" s="9"/>
    </row>
    <row r="61" spans="2:9" x14ac:dyDescent="0.3">
      <c r="B61" s="4"/>
      <c r="C61" s="15"/>
      <c r="D61" s="6"/>
      <c r="E61" s="7"/>
      <c r="F61" s="4"/>
      <c r="G61" s="16"/>
      <c r="H61" s="4"/>
      <c r="I61" s="9"/>
    </row>
    <row r="62" spans="2:9" x14ac:dyDescent="0.3">
      <c r="B62" s="4"/>
      <c r="C62" s="15"/>
      <c r="D62" s="6"/>
      <c r="E62" s="7"/>
      <c r="F62" s="4"/>
      <c r="G62" s="16"/>
      <c r="H62" s="4"/>
      <c r="I62" s="9"/>
    </row>
    <row r="63" spans="2:9" x14ac:dyDescent="0.3">
      <c r="B63" s="4"/>
      <c r="C63" s="15"/>
      <c r="D63" s="6"/>
      <c r="E63" s="7"/>
      <c r="F63" s="4"/>
      <c r="G63" s="16"/>
      <c r="H63" s="4"/>
      <c r="I63" s="9"/>
    </row>
    <row r="64" spans="2:9" x14ac:dyDescent="0.3">
      <c r="B64" s="4"/>
      <c r="C64" s="15"/>
      <c r="D64" s="6"/>
      <c r="E64" s="7"/>
      <c r="F64" s="4"/>
      <c r="G64" s="16"/>
      <c r="H64" s="4"/>
      <c r="I64" s="9"/>
    </row>
    <row r="65" spans="2:9" x14ac:dyDescent="0.3">
      <c r="B65" s="4"/>
      <c r="C65" s="15"/>
      <c r="D65" s="6"/>
      <c r="E65" s="7"/>
      <c r="F65" s="4"/>
      <c r="G65" s="16"/>
      <c r="H65" s="4"/>
      <c r="I65" s="9"/>
    </row>
    <row r="66" spans="2:9" x14ac:dyDescent="0.3">
      <c r="B66" s="4"/>
      <c r="C66" s="15"/>
      <c r="D66" s="6"/>
      <c r="E66" s="7"/>
      <c r="F66" s="4"/>
      <c r="G66" s="16"/>
      <c r="H66" s="4"/>
      <c r="I66" s="9"/>
    </row>
    <row r="67" spans="2:9" x14ac:dyDescent="0.3">
      <c r="B67" s="4"/>
      <c r="C67" s="15"/>
      <c r="D67" s="6"/>
      <c r="E67" s="7"/>
      <c r="F67" s="4"/>
      <c r="G67" s="16"/>
      <c r="H67" s="4"/>
      <c r="I67" s="9"/>
    </row>
    <row r="68" spans="2:9" x14ac:dyDescent="0.3">
      <c r="B68" s="4"/>
      <c r="C68" s="15"/>
      <c r="D68" s="6"/>
      <c r="E68" s="7"/>
      <c r="F68" s="4"/>
      <c r="G68" s="16"/>
      <c r="H68" s="4"/>
      <c r="I68" s="9"/>
    </row>
    <row r="69" spans="2:9" x14ac:dyDescent="0.3">
      <c r="B69" s="4"/>
      <c r="C69" s="15"/>
      <c r="D69" s="6"/>
      <c r="E69" s="7"/>
      <c r="F69" s="4"/>
      <c r="G69" s="16"/>
      <c r="H69" s="4"/>
      <c r="I69" s="9"/>
    </row>
    <row r="70" spans="2:9" x14ac:dyDescent="0.3">
      <c r="B70" s="4"/>
      <c r="C70" s="15"/>
      <c r="D70" s="6"/>
      <c r="E70" s="7"/>
      <c r="F70" s="4"/>
      <c r="G70" s="16"/>
      <c r="H70" s="4"/>
      <c r="I70" s="9"/>
    </row>
    <row r="71" spans="2:9" x14ac:dyDescent="0.3">
      <c r="B71" s="4"/>
      <c r="C71" s="15"/>
      <c r="D71" s="6"/>
      <c r="E71" s="7"/>
      <c r="F71" s="4"/>
      <c r="G71" s="16"/>
      <c r="H71" s="4"/>
      <c r="I71" s="9"/>
    </row>
    <row r="72" spans="2:9" x14ac:dyDescent="0.3">
      <c r="B72" s="4"/>
      <c r="C72" s="15"/>
      <c r="D72" s="6"/>
      <c r="E72" s="7"/>
      <c r="F72" s="4"/>
      <c r="G72" s="16"/>
      <c r="H72" s="4"/>
      <c r="I72" s="9"/>
    </row>
    <row r="73" spans="2:9" x14ac:dyDescent="0.3">
      <c r="B73" s="4"/>
      <c r="C73" s="15"/>
      <c r="D73" s="6"/>
      <c r="E73" s="7"/>
      <c r="F73" s="4"/>
      <c r="G73" s="16"/>
      <c r="H73" s="4"/>
      <c r="I73" s="9"/>
    </row>
    <row r="74" spans="2:9" x14ac:dyDescent="0.3">
      <c r="B74" s="4"/>
      <c r="C74" s="15"/>
      <c r="D74" s="6"/>
      <c r="E74" s="7"/>
      <c r="F74" s="4"/>
      <c r="G74" s="16"/>
      <c r="H74" s="4"/>
      <c r="I74" s="9"/>
    </row>
    <row r="75" spans="2:9" x14ac:dyDescent="0.3">
      <c r="B75" s="4"/>
      <c r="C75" s="15"/>
      <c r="D75" s="6"/>
      <c r="E75" s="7"/>
      <c r="F75" s="4"/>
      <c r="G75" s="16"/>
      <c r="H75" s="4"/>
      <c r="I75" s="9"/>
    </row>
    <row r="76" spans="2:9" x14ac:dyDescent="0.3">
      <c r="B76" s="4"/>
      <c r="C76" s="15"/>
      <c r="D76" s="6"/>
      <c r="E76" s="7"/>
      <c r="F76" s="4"/>
      <c r="G76" s="16"/>
      <c r="H76" s="4"/>
      <c r="I76" s="9"/>
    </row>
    <row r="77" spans="2:9" x14ac:dyDescent="0.3">
      <c r="B77" s="4"/>
      <c r="C77" s="15"/>
      <c r="D77" s="6"/>
      <c r="E77" s="7"/>
      <c r="F77" s="4"/>
      <c r="G77" s="16"/>
      <c r="H77" s="4"/>
      <c r="I77" s="9"/>
    </row>
    <row r="78" spans="2:9" x14ac:dyDescent="0.3">
      <c r="B78" s="4"/>
      <c r="C78" s="15"/>
      <c r="D78" s="6"/>
      <c r="E78" s="7"/>
      <c r="F78" s="4"/>
      <c r="G78" s="16"/>
      <c r="H78" s="4"/>
      <c r="I78" s="9"/>
    </row>
    <row r="79" spans="2:9" x14ac:dyDescent="0.3">
      <c r="B79" s="4"/>
      <c r="C79" s="15"/>
      <c r="D79" s="6"/>
      <c r="E79" s="7"/>
      <c r="F79" s="4"/>
      <c r="G79" s="16"/>
      <c r="H79" s="4"/>
      <c r="I79" s="9"/>
    </row>
    <row r="80" spans="2:9" x14ac:dyDescent="0.3">
      <c r="B80" s="4"/>
      <c r="C80" s="15"/>
      <c r="D80" s="6"/>
      <c r="E80" s="7"/>
      <c r="F80" s="4"/>
      <c r="G80" s="16"/>
      <c r="H80" s="4"/>
      <c r="I80" s="9"/>
    </row>
    <row r="81" spans="2:9" x14ac:dyDescent="0.3">
      <c r="B81" s="4"/>
      <c r="C81" s="15"/>
      <c r="D81" s="6"/>
      <c r="E81" s="7"/>
      <c r="F81" s="4"/>
      <c r="G81" s="16"/>
      <c r="H81" s="4"/>
      <c r="I81" s="9"/>
    </row>
    <row r="82" spans="2:9" x14ac:dyDescent="0.3">
      <c r="B82" s="4"/>
      <c r="C82" s="15"/>
      <c r="D82" s="6"/>
      <c r="E82" s="7"/>
      <c r="F82" s="4"/>
      <c r="G82" s="16"/>
      <c r="H82" s="4"/>
      <c r="I82" s="9"/>
    </row>
    <row r="83" spans="2:9" x14ac:dyDescent="0.3">
      <c r="B83" s="4"/>
      <c r="C83" s="15"/>
      <c r="D83" s="6"/>
      <c r="E83" s="7"/>
      <c r="F83" s="4"/>
      <c r="G83" s="16"/>
      <c r="H83" s="4"/>
      <c r="I83" s="9"/>
    </row>
    <row r="84" spans="2:9" x14ac:dyDescent="0.3">
      <c r="B84" s="4"/>
      <c r="C84" s="15"/>
      <c r="D84" s="6"/>
      <c r="E84" s="7"/>
      <c r="F84" s="4"/>
      <c r="G84" s="16"/>
      <c r="H84" s="4"/>
      <c r="I84" s="9"/>
    </row>
    <row r="85" spans="2:9" x14ac:dyDescent="0.3">
      <c r="B85" s="4"/>
      <c r="C85" s="15"/>
      <c r="D85" s="6"/>
      <c r="E85" s="7"/>
      <c r="F85" s="4"/>
      <c r="G85" s="16"/>
      <c r="H85" s="4"/>
      <c r="I85" s="9"/>
    </row>
    <row r="86" spans="2:9" x14ac:dyDescent="0.3">
      <c r="B86" s="4"/>
      <c r="C86" s="15"/>
      <c r="D86" s="6"/>
      <c r="E86" s="7"/>
      <c r="F86" s="4"/>
      <c r="G86" s="16"/>
      <c r="H86" s="4"/>
      <c r="I86" s="9"/>
    </row>
    <row r="87" spans="2:9" x14ac:dyDescent="0.3">
      <c r="B87" s="4"/>
      <c r="C87" s="15"/>
      <c r="D87" s="6"/>
      <c r="E87" s="7"/>
      <c r="F87" s="4"/>
      <c r="G87" s="16"/>
      <c r="H87" s="4"/>
      <c r="I87" s="9"/>
    </row>
    <row r="88" spans="2:9" x14ac:dyDescent="0.3">
      <c r="B88" s="4"/>
      <c r="C88" s="15"/>
      <c r="D88" s="6"/>
      <c r="E88" s="7"/>
      <c r="F88" s="4"/>
      <c r="G88" s="16"/>
      <c r="H88" s="4"/>
      <c r="I88" s="9"/>
    </row>
    <row r="89" spans="2:9" x14ac:dyDescent="0.3">
      <c r="B89" s="4"/>
      <c r="C89" s="15"/>
      <c r="D89" s="6"/>
      <c r="E89" s="7"/>
      <c r="F89" s="4"/>
      <c r="G89" s="16"/>
      <c r="H89" s="4"/>
      <c r="I89" s="9"/>
    </row>
    <row r="90" spans="2:9" x14ac:dyDescent="0.3">
      <c r="B90" s="4"/>
      <c r="C90" s="15"/>
      <c r="D90" s="6"/>
      <c r="E90" s="7"/>
      <c r="F90" s="4"/>
      <c r="G90" s="16"/>
      <c r="H90" s="4"/>
      <c r="I90" s="9"/>
    </row>
    <row r="91" spans="2:9" x14ac:dyDescent="0.3">
      <c r="B91" s="4"/>
      <c r="C91" s="15"/>
      <c r="D91" s="6"/>
      <c r="E91" s="7"/>
      <c r="F91" s="4"/>
      <c r="G91" s="16"/>
      <c r="H91" s="4"/>
      <c r="I91" s="9"/>
    </row>
    <row r="92" spans="2:9" x14ac:dyDescent="0.3">
      <c r="B92" s="4"/>
      <c r="C92" s="15"/>
      <c r="D92" s="6"/>
      <c r="E92" s="7"/>
      <c r="F92" s="4"/>
      <c r="G92" s="16"/>
      <c r="H92" s="4"/>
      <c r="I92" s="9"/>
    </row>
    <row r="93" spans="2:9" x14ac:dyDescent="0.3">
      <c r="B93" s="4"/>
      <c r="C93" s="15"/>
      <c r="D93" s="6"/>
      <c r="E93" s="7"/>
      <c r="F93" s="4"/>
      <c r="G93" s="16"/>
      <c r="H93" s="4"/>
      <c r="I93" s="9"/>
    </row>
    <row r="94" spans="2:9" x14ac:dyDescent="0.3">
      <c r="B94" s="4"/>
      <c r="C94" s="15"/>
      <c r="D94" s="6"/>
      <c r="E94" s="7"/>
      <c r="F94" s="4"/>
      <c r="G94" s="16"/>
      <c r="H94" s="4"/>
      <c r="I94" s="9"/>
    </row>
    <row r="95" spans="2:9" x14ac:dyDescent="0.3">
      <c r="B95" s="4"/>
      <c r="C95" s="15"/>
      <c r="D95" s="6"/>
      <c r="E95" s="7"/>
      <c r="F95" s="4"/>
      <c r="G95" s="16"/>
      <c r="H95" s="4"/>
      <c r="I95" s="9"/>
    </row>
  </sheetData>
  <phoneticPr fontId="1" type="noConversion"/>
  <dataValidations count="2">
    <dataValidation type="list" allowBlank="1" showInputMessage="1" showErrorMessage="1" sqref="H5:H6 H8:H95" xr:uid="{00000000-0002-0000-0200-000000000000}">
      <formula1>"新增,删除"</formula1>
    </dataValidation>
    <dataValidation type="list" allowBlank="1" showInputMessage="1" showErrorMessage="1" sqref="G19:G44 G14 F19:F21 F15:G18 F5:G6 F11:G13 G3:G4 G7:G10" xr:uid="{00000000-0002-0000-0200-000001000000}">
      <formula1>"是,否"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910FD2-609F-4891-99AE-A2784412297A}">
  <dimension ref="B2:I95"/>
  <sheetViews>
    <sheetView workbookViewId="0">
      <selection sqref="A1:XFD1048576"/>
    </sheetView>
  </sheetViews>
  <sheetFormatPr defaultColWidth="9" defaultRowHeight="13.5" x14ac:dyDescent="0.3"/>
  <cols>
    <col min="1" max="1" width="3.125" style="3" customWidth="1"/>
    <col min="2" max="2" width="4.5" style="3" bestFit="1" customWidth="1"/>
    <col min="3" max="3" width="34.5" style="3" customWidth="1"/>
    <col min="4" max="4" width="18.75" style="3" bestFit="1" customWidth="1"/>
    <col min="5" max="5" width="34.625" style="3" customWidth="1"/>
    <col min="6" max="6" width="10.5" style="3" customWidth="1"/>
    <col min="7" max="7" width="7.5" style="3" customWidth="1"/>
    <col min="8" max="8" width="9" style="3"/>
    <col min="9" max="9" width="78.375" style="3" customWidth="1"/>
    <col min="10" max="16384" width="9" style="3"/>
  </cols>
  <sheetData>
    <row r="2" spans="2:9" ht="14.25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2" t="s">
        <v>7</v>
      </c>
    </row>
    <row r="3" spans="2:9" ht="28.5" x14ac:dyDescent="0.3">
      <c r="B3" s="4">
        <v>1</v>
      </c>
      <c r="C3" s="5"/>
      <c r="D3" s="6" t="s">
        <v>8</v>
      </c>
      <c r="E3" s="7" t="s">
        <v>9</v>
      </c>
      <c r="F3" s="8" t="s">
        <v>10</v>
      </c>
      <c r="G3" s="8" t="s">
        <v>10</v>
      </c>
      <c r="H3" s="8" t="s">
        <v>11</v>
      </c>
      <c r="I3" s="9" t="str">
        <f>IF(G3="是",IF(H3="新增",CONCATENATE("alter table ",C3," add primary key (",D3,");"),CONCATENATE("alter table ",C3," drop primary key;")),IF(F3="是",IF(H3="新增",CONCATENATE("alter table ",C3," add unique key ",E3," (",D3,");"),CONCATENATE("alter table ",C3," drop  index ",E3,";")),IF(H3="新增",CONCATENATE("alter table ",C3," add  key ",E3," (",D3,");"),CONCATENATE("alter table ",C3," drop  index ",E3,";"))))</f>
        <v>alter table  add  key IDX_DLR3 (DLR_ID,CREATED_DATE,ACCOUNT_INFO_CODE);</v>
      </c>
    </row>
    <row r="4" spans="2:9" ht="28.5" x14ac:dyDescent="0.3">
      <c r="B4" s="4">
        <v>2</v>
      </c>
      <c r="C4" s="5"/>
      <c r="D4" s="6" t="s">
        <v>12</v>
      </c>
      <c r="E4" s="10" t="s">
        <v>13</v>
      </c>
      <c r="F4" s="4" t="s">
        <v>14</v>
      </c>
      <c r="G4" s="8" t="s">
        <v>10</v>
      </c>
      <c r="H4" s="8" t="s">
        <v>11</v>
      </c>
      <c r="I4" s="9" t="str">
        <f>IF(G4="是",IF(H4="新增",CONCATENATE("alter table ",C4," add primary key (",D4,");"),CONCATENATE("alter table ",C4," drop primary key;")),IF(F4="是",IF(H4="新增",CONCATENATE("alter table ",C4," add unique key ",E4," (",D4,");"),CONCATENATE("alter table ",C4," drop  index ",E4,";")),IF(H4="新增",CONCATENATE("alter table ",C4," add  key ",E4," (",D4,");"),CONCATENATE("alter table ",C4," drop  index ",E4,";"))))</f>
        <v>alter table  add unique key UK_ACCOUNT_INFO_CODE2 (ACCOUNT_INFO_CODE,MODULE_CODE);</v>
      </c>
    </row>
    <row r="5" spans="2:9" ht="14.25" x14ac:dyDescent="0.3">
      <c r="B5" s="4">
        <v>3</v>
      </c>
      <c r="C5" s="5"/>
      <c r="D5" s="11" t="s">
        <v>15</v>
      </c>
      <c r="E5" s="11" t="s">
        <v>16</v>
      </c>
      <c r="F5" s="12" t="s">
        <v>10</v>
      </c>
      <c r="G5" s="12" t="s">
        <v>10</v>
      </c>
      <c r="H5" s="12" t="s">
        <v>11</v>
      </c>
      <c r="I5" s="9" t="str">
        <f t="shared" ref="I5:I7" si="0">IF(G5="是",IF(H5="新增",CONCATENATE("alter table ",C5," add primary key (",D5,");"),CONCATENATE("alter table ",C5," drop primary key;")),IF(F5="是",IF(H5="新增",CONCATENATE("alter table ",C5," add unique key ",E5," (",D5,");"),CONCATENATE("alter table ",C5," drop  index ",E5,";")),IF(H5="新增",CONCATENATE("alter table ",C5," add  key ",E5," (",D5,");"),CONCATENATE("alter table ",C5," drop  index ",E5,";"))))</f>
        <v>alter table  add  key IDX_CREATED_DATE (CREATED_DATE);</v>
      </c>
    </row>
    <row r="6" spans="2:9" ht="14.25" x14ac:dyDescent="0.3">
      <c r="B6" s="4">
        <v>4</v>
      </c>
      <c r="C6" s="5"/>
      <c r="D6" s="11" t="s">
        <v>17</v>
      </c>
      <c r="E6" s="11" t="s">
        <v>18</v>
      </c>
      <c r="F6" s="12" t="s">
        <v>10</v>
      </c>
      <c r="G6" s="12" t="s">
        <v>10</v>
      </c>
      <c r="H6" s="12" t="s">
        <v>11</v>
      </c>
      <c r="I6" s="9" t="str">
        <f t="shared" si="0"/>
        <v>alter table  add  key IDX_LAST_UPDATED_DATE (LAST_UPDATED_DATE);</v>
      </c>
    </row>
    <row r="7" spans="2:9" ht="14.25" x14ac:dyDescent="0.3">
      <c r="B7" s="4">
        <v>5</v>
      </c>
      <c r="C7" s="5"/>
      <c r="D7" s="13" t="s">
        <v>19</v>
      </c>
      <c r="E7" s="13" t="s">
        <v>20</v>
      </c>
      <c r="F7" s="14" t="s">
        <v>10</v>
      </c>
      <c r="G7" s="12" t="s">
        <v>10</v>
      </c>
      <c r="H7" s="14" t="s">
        <v>11</v>
      </c>
      <c r="I7" s="9" t="str">
        <f t="shared" si="0"/>
        <v>alter table  add  key IDX_INTERFACE_UPDATE_DATE (INTERFACE_UPDATE_DATE);</v>
      </c>
    </row>
    <row r="8" spans="2:9" ht="14.25" x14ac:dyDescent="0.3">
      <c r="B8" s="4"/>
      <c r="C8" s="15"/>
      <c r="D8" s="6"/>
      <c r="E8" s="7"/>
      <c r="F8" s="4"/>
      <c r="G8" s="16"/>
      <c r="H8" s="4"/>
      <c r="I8" s="9"/>
    </row>
    <row r="9" spans="2:9" ht="14.25" x14ac:dyDescent="0.3">
      <c r="B9" s="4"/>
      <c r="C9" s="15"/>
      <c r="D9" s="6"/>
      <c r="E9" s="7"/>
      <c r="F9" s="4"/>
      <c r="G9" s="16"/>
      <c r="H9" s="4"/>
      <c r="I9" s="9"/>
    </row>
    <row r="10" spans="2:9" ht="14.25" x14ac:dyDescent="0.3">
      <c r="B10" s="4"/>
      <c r="C10" s="15"/>
      <c r="D10" s="6"/>
      <c r="E10" s="7"/>
      <c r="F10" s="4"/>
      <c r="G10" s="16"/>
      <c r="H10" s="4"/>
      <c r="I10" s="9"/>
    </row>
    <row r="11" spans="2:9" ht="14.25" x14ac:dyDescent="0.3">
      <c r="B11" s="4"/>
      <c r="C11" s="15"/>
      <c r="D11" s="6"/>
      <c r="E11" s="7"/>
      <c r="F11" s="4"/>
      <c r="G11" s="16"/>
      <c r="H11" s="4"/>
      <c r="I11" s="9"/>
    </row>
    <row r="12" spans="2:9" ht="14.25" x14ac:dyDescent="0.3">
      <c r="B12" s="4"/>
      <c r="C12" s="15"/>
      <c r="D12" s="6"/>
      <c r="E12" s="7"/>
      <c r="F12" s="4"/>
      <c r="G12" s="16"/>
      <c r="H12" s="4"/>
      <c r="I12" s="9"/>
    </row>
    <row r="13" spans="2:9" ht="14.25" x14ac:dyDescent="0.3">
      <c r="B13" s="4"/>
      <c r="C13" s="15"/>
      <c r="D13" s="6"/>
      <c r="E13" s="7"/>
      <c r="F13" s="4"/>
      <c r="G13" s="16"/>
      <c r="H13" s="4"/>
      <c r="I13" s="9"/>
    </row>
    <row r="14" spans="2:9" ht="14.25" x14ac:dyDescent="0.3">
      <c r="B14" s="4"/>
      <c r="C14" s="15"/>
      <c r="D14" s="6"/>
      <c r="E14" s="7"/>
      <c r="F14" s="4"/>
      <c r="G14" s="16"/>
      <c r="H14" s="4"/>
      <c r="I14" s="9"/>
    </row>
    <row r="15" spans="2:9" ht="14.25" x14ac:dyDescent="0.3">
      <c r="B15" s="4"/>
      <c r="C15" s="15"/>
      <c r="D15" s="6"/>
      <c r="E15" s="7"/>
      <c r="F15" s="4"/>
      <c r="G15" s="16"/>
      <c r="H15" s="4"/>
      <c r="I15" s="9"/>
    </row>
    <row r="16" spans="2:9" ht="14.25" x14ac:dyDescent="0.3">
      <c r="B16" s="4"/>
      <c r="C16" s="15"/>
      <c r="D16" s="6"/>
      <c r="E16" s="7"/>
      <c r="F16" s="4"/>
      <c r="G16" s="16"/>
      <c r="H16" s="4"/>
      <c r="I16" s="9"/>
    </row>
    <row r="17" spans="2:9" ht="14.25" x14ac:dyDescent="0.3">
      <c r="B17" s="4"/>
      <c r="C17" s="15"/>
      <c r="D17" s="6"/>
      <c r="E17" s="7"/>
      <c r="F17" s="4"/>
      <c r="G17" s="16"/>
      <c r="H17" s="4"/>
      <c r="I17" s="9"/>
    </row>
    <row r="18" spans="2:9" ht="14.25" x14ac:dyDescent="0.3">
      <c r="B18" s="4"/>
      <c r="C18" s="15"/>
      <c r="D18" s="6"/>
      <c r="E18" s="7"/>
      <c r="F18" s="4"/>
      <c r="G18" s="16"/>
      <c r="H18" s="4"/>
      <c r="I18" s="9"/>
    </row>
    <row r="19" spans="2:9" ht="14.25" x14ac:dyDescent="0.3">
      <c r="B19" s="4"/>
      <c r="C19" s="15"/>
      <c r="D19" s="6"/>
      <c r="E19" s="7"/>
      <c r="F19" s="4"/>
      <c r="G19" s="16"/>
      <c r="H19" s="4"/>
      <c r="I19" s="9"/>
    </row>
    <row r="20" spans="2:9" ht="14.25" x14ac:dyDescent="0.3">
      <c r="B20" s="4"/>
      <c r="C20" s="15"/>
      <c r="D20" s="6"/>
      <c r="E20" s="7"/>
      <c r="F20" s="4"/>
      <c r="G20" s="16"/>
      <c r="H20" s="4"/>
      <c r="I20" s="9"/>
    </row>
    <row r="21" spans="2:9" ht="14.25" x14ac:dyDescent="0.3">
      <c r="B21" s="4"/>
      <c r="C21" s="15"/>
      <c r="D21" s="6"/>
      <c r="E21" s="7"/>
      <c r="F21" s="4"/>
      <c r="G21" s="16"/>
      <c r="H21" s="4"/>
      <c r="I21" s="9"/>
    </row>
    <row r="22" spans="2:9" ht="14.25" x14ac:dyDescent="0.3">
      <c r="B22" s="4"/>
      <c r="C22" s="15"/>
      <c r="D22" s="6"/>
      <c r="E22" s="7"/>
      <c r="F22" s="4"/>
      <c r="G22" s="16"/>
      <c r="H22" s="4"/>
      <c r="I22" s="9"/>
    </row>
    <row r="23" spans="2:9" ht="14.25" x14ac:dyDescent="0.3">
      <c r="B23" s="4"/>
      <c r="C23" s="15"/>
      <c r="D23" s="6"/>
      <c r="E23" s="7"/>
      <c r="F23" s="4"/>
      <c r="G23" s="16"/>
      <c r="H23" s="4"/>
      <c r="I23" s="9"/>
    </row>
    <row r="24" spans="2:9" ht="14.25" x14ac:dyDescent="0.3">
      <c r="B24" s="4"/>
      <c r="C24" s="15"/>
      <c r="D24" s="6"/>
      <c r="E24" s="7"/>
      <c r="F24" s="4"/>
      <c r="G24" s="16"/>
      <c r="H24" s="4"/>
      <c r="I24" s="9"/>
    </row>
    <row r="25" spans="2:9" ht="14.25" x14ac:dyDescent="0.3">
      <c r="B25" s="4"/>
      <c r="C25" s="15"/>
      <c r="D25" s="6"/>
      <c r="E25" s="7"/>
      <c r="F25" s="4"/>
      <c r="G25" s="16"/>
      <c r="H25" s="4"/>
      <c r="I25" s="9"/>
    </row>
    <row r="26" spans="2:9" ht="14.25" x14ac:dyDescent="0.3">
      <c r="B26" s="4"/>
      <c r="C26" s="15"/>
      <c r="D26" s="6"/>
      <c r="E26" s="7"/>
      <c r="F26" s="4"/>
      <c r="G26" s="16"/>
      <c r="H26" s="4"/>
      <c r="I26" s="9"/>
    </row>
    <row r="27" spans="2:9" ht="14.25" x14ac:dyDescent="0.3">
      <c r="B27" s="4"/>
      <c r="C27" s="15"/>
      <c r="D27" s="6"/>
      <c r="E27" s="7"/>
      <c r="F27" s="4"/>
      <c r="G27" s="16"/>
      <c r="H27" s="4"/>
      <c r="I27" s="9"/>
    </row>
    <row r="28" spans="2:9" ht="14.25" x14ac:dyDescent="0.3">
      <c r="B28" s="4"/>
      <c r="C28" s="15"/>
      <c r="D28" s="6"/>
      <c r="E28" s="7"/>
      <c r="F28" s="4"/>
      <c r="G28" s="16"/>
      <c r="H28" s="4"/>
      <c r="I28" s="9"/>
    </row>
    <row r="29" spans="2:9" ht="14.25" x14ac:dyDescent="0.3">
      <c r="B29" s="4"/>
      <c r="C29" s="15"/>
      <c r="D29" s="6"/>
      <c r="E29" s="7"/>
      <c r="F29" s="4"/>
      <c r="G29" s="16"/>
      <c r="H29" s="4"/>
      <c r="I29" s="9"/>
    </row>
    <row r="30" spans="2:9" ht="14.25" x14ac:dyDescent="0.3">
      <c r="B30" s="4"/>
      <c r="C30" s="15"/>
      <c r="D30" s="6"/>
      <c r="E30" s="7"/>
      <c r="F30" s="4"/>
      <c r="G30" s="16"/>
      <c r="H30" s="4"/>
      <c r="I30" s="9"/>
    </row>
    <row r="31" spans="2:9" ht="14.25" x14ac:dyDescent="0.3">
      <c r="B31" s="4"/>
      <c r="C31" s="15"/>
      <c r="D31" s="6"/>
      <c r="E31" s="7"/>
      <c r="F31" s="4"/>
      <c r="G31" s="16"/>
      <c r="H31" s="4"/>
      <c r="I31" s="9"/>
    </row>
    <row r="32" spans="2:9" ht="14.25" x14ac:dyDescent="0.3">
      <c r="B32" s="4"/>
      <c r="C32" s="15"/>
      <c r="D32" s="6"/>
      <c r="E32" s="7"/>
      <c r="F32" s="4"/>
      <c r="G32" s="16"/>
      <c r="H32" s="4"/>
      <c r="I32" s="9"/>
    </row>
    <row r="33" spans="2:9" ht="14.25" x14ac:dyDescent="0.3">
      <c r="B33" s="4"/>
      <c r="C33" s="15"/>
      <c r="D33" s="6"/>
      <c r="E33" s="7"/>
      <c r="F33" s="4"/>
      <c r="G33" s="16"/>
      <c r="H33" s="4"/>
      <c r="I33" s="9"/>
    </row>
    <row r="34" spans="2:9" ht="14.25" x14ac:dyDescent="0.3">
      <c r="B34" s="4"/>
      <c r="C34" s="15"/>
      <c r="D34" s="6"/>
      <c r="E34" s="7"/>
      <c r="F34" s="4"/>
      <c r="G34" s="16"/>
      <c r="H34" s="4"/>
      <c r="I34" s="9"/>
    </row>
    <row r="35" spans="2:9" ht="14.25" x14ac:dyDescent="0.3">
      <c r="B35" s="4"/>
      <c r="C35" s="15"/>
      <c r="D35" s="6"/>
      <c r="E35" s="7"/>
      <c r="F35" s="4"/>
      <c r="G35" s="16"/>
      <c r="H35" s="4"/>
      <c r="I35" s="9"/>
    </row>
    <row r="36" spans="2:9" ht="14.25" x14ac:dyDescent="0.3">
      <c r="B36" s="4"/>
      <c r="C36" s="15"/>
      <c r="D36" s="6"/>
      <c r="E36" s="7"/>
      <c r="F36" s="4"/>
      <c r="G36" s="16"/>
      <c r="H36" s="4"/>
      <c r="I36" s="9"/>
    </row>
    <row r="37" spans="2:9" ht="14.25" x14ac:dyDescent="0.3">
      <c r="B37" s="4"/>
      <c r="C37" s="15"/>
      <c r="D37" s="6"/>
      <c r="E37" s="7"/>
      <c r="F37" s="4"/>
      <c r="G37" s="16"/>
      <c r="H37" s="4"/>
      <c r="I37" s="9"/>
    </row>
    <row r="38" spans="2:9" ht="14.25" x14ac:dyDescent="0.3">
      <c r="B38" s="4"/>
      <c r="C38" s="15"/>
      <c r="D38" s="6"/>
      <c r="E38" s="7"/>
      <c r="F38" s="4"/>
      <c r="G38" s="16"/>
      <c r="H38" s="4"/>
      <c r="I38" s="9"/>
    </row>
    <row r="39" spans="2:9" ht="14.25" x14ac:dyDescent="0.3">
      <c r="B39" s="4"/>
      <c r="C39" s="15"/>
      <c r="D39" s="6"/>
      <c r="E39" s="7"/>
      <c r="F39" s="4"/>
      <c r="G39" s="16"/>
      <c r="H39" s="4"/>
      <c r="I39" s="9"/>
    </row>
    <row r="40" spans="2:9" ht="14.25" x14ac:dyDescent="0.3">
      <c r="B40" s="4"/>
      <c r="C40" s="15"/>
      <c r="D40" s="6"/>
      <c r="E40" s="7"/>
      <c r="F40" s="4"/>
      <c r="G40" s="16"/>
      <c r="H40" s="4"/>
      <c r="I40" s="9"/>
    </row>
    <row r="41" spans="2:9" ht="14.25" x14ac:dyDescent="0.3">
      <c r="B41" s="4"/>
      <c r="C41" s="15"/>
      <c r="D41" s="6"/>
      <c r="E41" s="7"/>
      <c r="F41" s="4"/>
      <c r="G41" s="16"/>
      <c r="H41" s="4"/>
      <c r="I41" s="9"/>
    </row>
    <row r="42" spans="2:9" ht="14.25" x14ac:dyDescent="0.3">
      <c r="B42" s="4"/>
      <c r="C42" s="15"/>
      <c r="D42" s="6"/>
      <c r="E42" s="7"/>
      <c r="F42" s="4"/>
      <c r="G42" s="16"/>
      <c r="H42" s="4"/>
      <c r="I42" s="9"/>
    </row>
    <row r="43" spans="2:9" ht="14.25" x14ac:dyDescent="0.3">
      <c r="B43" s="4"/>
      <c r="C43" s="15"/>
      <c r="D43" s="6"/>
      <c r="E43" s="7"/>
      <c r="F43" s="4"/>
      <c r="G43" s="16"/>
      <c r="H43" s="4"/>
      <c r="I43" s="9"/>
    </row>
    <row r="44" spans="2:9" ht="14.25" x14ac:dyDescent="0.3">
      <c r="B44" s="4"/>
      <c r="C44" s="15"/>
      <c r="D44" s="6"/>
      <c r="E44" s="7"/>
      <c r="F44" s="4"/>
      <c r="G44" s="16"/>
      <c r="H44" s="4"/>
      <c r="I44" s="9"/>
    </row>
    <row r="45" spans="2:9" ht="14.25" x14ac:dyDescent="0.3">
      <c r="B45" s="4"/>
      <c r="C45" s="15"/>
      <c r="D45" s="6"/>
      <c r="E45" s="7"/>
      <c r="F45" s="4"/>
      <c r="G45" s="16"/>
      <c r="H45" s="4"/>
      <c r="I45" s="9"/>
    </row>
    <row r="46" spans="2:9" ht="14.25" x14ac:dyDescent="0.3">
      <c r="B46" s="4"/>
      <c r="C46" s="15"/>
      <c r="D46" s="6"/>
      <c r="E46" s="7"/>
      <c r="F46" s="4"/>
      <c r="G46" s="16"/>
      <c r="H46" s="4"/>
      <c r="I46" s="9"/>
    </row>
    <row r="47" spans="2:9" ht="14.25" x14ac:dyDescent="0.3">
      <c r="B47" s="4"/>
      <c r="C47" s="15"/>
      <c r="D47" s="6"/>
      <c r="E47" s="7"/>
      <c r="F47" s="4"/>
      <c r="G47" s="16"/>
      <c r="H47" s="4"/>
      <c r="I47" s="9"/>
    </row>
    <row r="48" spans="2:9" ht="14.25" x14ac:dyDescent="0.3">
      <c r="B48" s="4"/>
      <c r="C48" s="15"/>
      <c r="D48" s="6"/>
      <c r="E48" s="7"/>
      <c r="F48" s="4"/>
      <c r="G48" s="16"/>
      <c r="H48" s="4"/>
      <c r="I48" s="9"/>
    </row>
    <row r="49" spans="2:9" ht="14.25" x14ac:dyDescent="0.3">
      <c r="B49" s="4"/>
      <c r="C49" s="15"/>
      <c r="D49" s="6"/>
      <c r="E49" s="7"/>
      <c r="F49" s="4"/>
      <c r="G49" s="16"/>
      <c r="H49" s="4"/>
      <c r="I49" s="9"/>
    </row>
    <row r="50" spans="2:9" ht="14.25" x14ac:dyDescent="0.3">
      <c r="B50" s="4"/>
      <c r="C50" s="15"/>
      <c r="D50" s="6"/>
      <c r="E50" s="7"/>
      <c r="F50" s="4"/>
      <c r="G50" s="16"/>
      <c r="H50" s="4"/>
      <c r="I50" s="9"/>
    </row>
    <row r="51" spans="2:9" ht="14.25" x14ac:dyDescent="0.3">
      <c r="B51" s="4"/>
      <c r="C51" s="15"/>
      <c r="D51" s="6"/>
      <c r="E51" s="7"/>
      <c r="F51" s="4"/>
      <c r="G51" s="16"/>
      <c r="H51" s="4"/>
      <c r="I51" s="9"/>
    </row>
    <row r="52" spans="2:9" ht="14.25" x14ac:dyDescent="0.3">
      <c r="B52" s="4"/>
      <c r="C52" s="15"/>
      <c r="D52" s="6"/>
      <c r="E52" s="7"/>
      <c r="F52" s="4"/>
      <c r="G52" s="16"/>
      <c r="H52" s="4"/>
      <c r="I52" s="9"/>
    </row>
    <row r="53" spans="2:9" ht="14.25" x14ac:dyDescent="0.3">
      <c r="B53" s="4"/>
      <c r="C53" s="15"/>
      <c r="D53" s="6"/>
      <c r="E53" s="7"/>
      <c r="F53" s="4"/>
      <c r="G53" s="16"/>
      <c r="H53" s="4"/>
      <c r="I53" s="9"/>
    </row>
    <row r="54" spans="2:9" ht="14.25" x14ac:dyDescent="0.3">
      <c r="B54" s="4"/>
      <c r="C54" s="15"/>
      <c r="D54" s="6"/>
      <c r="E54" s="7"/>
      <c r="F54" s="4"/>
      <c r="G54" s="16"/>
      <c r="H54" s="4"/>
      <c r="I54" s="9"/>
    </row>
    <row r="55" spans="2:9" ht="14.25" x14ac:dyDescent="0.3">
      <c r="B55" s="4"/>
      <c r="C55" s="15"/>
      <c r="D55" s="6"/>
      <c r="E55" s="7"/>
      <c r="F55" s="4"/>
      <c r="G55" s="16"/>
      <c r="H55" s="4"/>
      <c r="I55" s="9"/>
    </row>
    <row r="56" spans="2:9" ht="14.25" x14ac:dyDescent="0.3">
      <c r="B56" s="4"/>
      <c r="C56" s="15"/>
      <c r="D56" s="6"/>
      <c r="E56" s="7"/>
      <c r="F56" s="4"/>
      <c r="G56" s="16"/>
      <c r="H56" s="4"/>
      <c r="I56" s="9"/>
    </row>
    <row r="57" spans="2:9" ht="14.25" x14ac:dyDescent="0.3">
      <c r="B57" s="4"/>
      <c r="C57" s="15"/>
      <c r="D57" s="6"/>
      <c r="E57" s="7"/>
      <c r="F57" s="4"/>
      <c r="G57" s="16"/>
      <c r="H57" s="4"/>
      <c r="I57" s="9"/>
    </row>
    <row r="58" spans="2:9" ht="14.25" x14ac:dyDescent="0.3">
      <c r="B58" s="4"/>
      <c r="C58" s="15"/>
      <c r="D58" s="6"/>
      <c r="E58" s="7"/>
      <c r="F58" s="4"/>
      <c r="G58" s="16"/>
      <c r="H58" s="4"/>
      <c r="I58" s="9"/>
    </row>
    <row r="59" spans="2:9" ht="14.25" x14ac:dyDescent="0.3">
      <c r="B59" s="4"/>
      <c r="C59" s="15"/>
      <c r="D59" s="6"/>
      <c r="E59" s="7"/>
      <c r="F59" s="4"/>
      <c r="G59" s="16"/>
      <c r="H59" s="4"/>
      <c r="I59" s="9"/>
    </row>
    <row r="60" spans="2:9" ht="14.25" x14ac:dyDescent="0.3">
      <c r="B60" s="4"/>
      <c r="C60" s="15"/>
      <c r="D60" s="6"/>
      <c r="E60" s="7"/>
      <c r="F60" s="4"/>
      <c r="G60" s="16"/>
      <c r="H60" s="4"/>
      <c r="I60" s="9"/>
    </row>
    <row r="61" spans="2:9" ht="14.25" x14ac:dyDescent="0.3">
      <c r="B61" s="4"/>
      <c r="C61" s="15"/>
      <c r="D61" s="6"/>
      <c r="E61" s="7"/>
      <c r="F61" s="4"/>
      <c r="G61" s="16"/>
      <c r="H61" s="4"/>
      <c r="I61" s="9"/>
    </row>
    <row r="62" spans="2:9" ht="14.25" x14ac:dyDescent="0.3">
      <c r="B62" s="4"/>
      <c r="C62" s="15"/>
      <c r="D62" s="6"/>
      <c r="E62" s="7"/>
      <c r="F62" s="4"/>
      <c r="G62" s="16"/>
      <c r="H62" s="4"/>
      <c r="I62" s="9"/>
    </row>
    <row r="63" spans="2:9" ht="14.25" x14ac:dyDescent="0.3">
      <c r="B63" s="4"/>
      <c r="C63" s="15"/>
      <c r="D63" s="6"/>
      <c r="E63" s="7"/>
      <c r="F63" s="4"/>
      <c r="G63" s="16"/>
      <c r="H63" s="4"/>
      <c r="I63" s="9"/>
    </row>
    <row r="64" spans="2:9" ht="14.25" x14ac:dyDescent="0.3">
      <c r="B64" s="4"/>
      <c r="C64" s="15"/>
      <c r="D64" s="6"/>
      <c r="E64" s="7"/>
      <c r="F64" s="4"/>
      <c r="G64" s="16"/>
      <c r="H64" s="4"/>
      <c r="I64" s="9"/>
    </row>
    <row r="65" spans="2:9" ht="14.25" x14ac:dyDescent="0.3">
      <c r="B65" s="4"/>
      <c r="C65" s="15"/>
      <c r="D65" s="6"/>
      <c r="E65" s="7"/>
      <c r="F65" s="4"/>
      <c r="G65" s="16"/>
      <c r="H65" s="4"/>
      <c r="I65" s="9"/>
    </row>
    <row r="66" spans="2:9" ht="14.25" x14ac:dyDescent="0.3">
      <c r="B66" s="4"/>
      <c r="C66" s="15"/>
      <c r="D66" s="6"/>
      <c r="E66" s="7"/>
      <c r="F66" s="4"/>
      <c r="G66" s="16"/>
      <c r="H66" s="4"/>
      <c r="I66" s="9"/>
    </row>
    <row r="67" spans="2:9" ht="14.25" x14ac:dyDescent="0.3">
      <c r="B67" s="4"/>
      <c r="C67" s="15"/>
      <c r="D67" s="6"/>
      <c r="E67" s="7"/>
      <c r="F67" s="4"/>
      <c r="G67" s="16"/>
      <c r="H67" s="4"/>
      <c r="I67" s="9"/>
    </row>
    <row r="68" spans="2:9" ht="14.25" x14ac:dyDescent="0.3">
      <c r="B68" s="4"/>
      <c r="C68" s="15"/>
      <c r="D68" s="6"/>
      <c r="E68" s="7"/>
      <c r="F68" s="4"/>
      <c r="G68" s="16"/>
      <c r="H68" s="4"/>
      <c r="I68" s="9"/>
    </row>
    <row r="69" spans="2:9" ht="14.25" x14ac:dyDescent="0.3">
      <c r="B69" s="4"/>
      <c r="C69" s="15"/>
      <c r="D69" s="6"/>
      <c r="E69" s="7"/>
      <c r="F69" s="4"/>
      <c r="G69" s="16"/>
      <c r="H69" s="4"/>
      <c r="I69" s="9"/>
    </row>
    <row r="70" spans="2:9" ht="14.25" x14ac:dyDescent="0.3">
      <c r="B70" s="4"/>
      <c r="C70" s="15"/>
      <c r="D70" s="6"/>
      <c r="E70" s="7"/>
      <c r="F70" s="4"/>
      <c r="G70" s="16"/>
      <c r="H70" s="4"/>
      <c r="I70" s="9"/>
    </row>
    <row r="71" spans="2:9" ht="14.25" x14ac:dyDescent="0.3">
      <c r="B71" s="4"/>
      <c r="C71" s="15"/>
      <c r="D71" s="6"/>
      <c r="E71" s="7"/>
      <c r="F71" s="4"/>
      <c r="G71" s="16"/>
      <c r="H71" s="4"/>
      <c r="I71" s="9"/>
    </row>
    <row r="72" spans="2:9" ht="14.25" x14ac:dyDescent="0.3">
      <c r="B72" s="4"/>
      <c r="C72" s="15"/>
      <c r="D72" s="6"/>
      <c r="E72" s="7"/>
      <c r="F72" s="4"/>
      <c r="G72" s="16"/>
      <c r="H72" s="4"/>
      <c r="I72" s="9"/>
    </row>
    <row r="73" spans="2:9" ht="14.25" x14ac:dyDescent="0.3">
      <c r="B73" s="4"/>
      <c r="C73" s="15"/>
      <c r="D73" s="6"/>
      <c r="E73" s="7"/>
      <c r="F73" s="4"/>
      <c r="G73" s="16"/>
      <c r="H73" s="4"/>
      <c r="I73" s="9"/>
    </row>
    <row r="74" spans="2:9" ht="14.25" x14ac:dyDescent="0.3">
      <c r="B74" s="4"/>
      <c r="C74" s="15"/>
      <c r="D74" s="6"/>
      <c r="E74" s="7"/>
      <c r="F74" s="4"/>
      <c r="G74" s="16"/>
      <c r="H74" s="4"/>
      <c r="I74" s="9"/>
    </row>
    <row r="75" spans="2:9" ht="14.25" x14ac:dyDescent="0.3">
      <c r="B75" s="4"/>
      <c r="C75" s="15"/>
      <c r="D75" s="6"/>
      <c r="E75" s="7"/>
      <c r="F75" s="4"/>
      <c r="G75" s="16"/>
      <c r="H75" s="4"/>
      <c r="I75" s="9"/>
    </row>
    <row r="76" spans="2:9" ht="14.25" x14ac:dyDescent="0.3">
      <c r="B76" s="4"/>
      <c r="C76" s="15"/>
      <c r="D76" s="6"/>
      <c r="E76" s="7"/>
      <c r="F76" s="4"/>
      <c r="G76" s="16"/>
      <c r="H76" s="4"/>
      <c r="I76" s="9"/>
    </row>
    <row r="77" spans="2:9" ht="14.25" x14ac:dyDescent="0.3">
      <c r="B77" s="4"/>
      <c r="C77" s="15"/>
      <c r="D77" s="6"/>
      <c r="E77" s="7"/>
      <c r="F77" s="4"/>
      <c r="G77" s="16"/>
      <c r="H77" s="4"/>
      <c r="I77" s="9"/>
    </row>
    <row r="78" spans="2:9" ht="14.25" x14ac:dyDescent="0.3">
      <c r="B78" s="4"/>
      <c r="C78" s="15"/>
      <c r="D78" s="6"/>
      <c r="E78" s="7"/>
      <c r="F78" s="4"/>
      <c r="G78" s="16"/>
      <c r="H78" s="4"/>
      <c r="I78" s="9"/>
    </row>
    <row r="79" spans="2:9" ht="14.25" x14ac:dyDescent="0.3">
      <c r="B79" s="4"/>
      <c r="C79" s="15"/>
      <c r="D79" s="6"/>
      <c r="E79" s="7"/>
      <c r="F79" s="4"/>
      <c r="G79" s="16"/>
      <c r="H79" s="4"/>
      <c r="I79" s="9"/>
    </row>
    <row r="80" spans="2:9" ht="14.25" x14ac:dyDescent="0.3">
      <c r="B80" s="4"/>
      <c r="C80" s="15"/>
      <c r="D80" s="6"/>
      <c r="E80" s="7"/>
      <c r="F80" s="4"/>
      <c r="G80" s="16"/>
      <c r="H80" s="4"/>
      <c r="I80" s="9"/>
    </row>
    <row r="81" spans="2:9" ht="14.25" x14ac:dyDescent="0.3">
      <c r="B81" s="4"/>
      <c r="C81" s="15"/>
      <c r="D81" s="6"/>
      <c r="E81" s="7"/>
      <c r="F81" s="4"/>
      <c r="G81" s="16"/>
      <c r="H81" s="4"/>
      <c r="I81" s="9"/>
    </row>
    <row r="82" spans="2:9" ht="14.25" x14ac:dyDescent="0.3">
      <c r="B82" s="4"/>
      <c r="C82" s="15"/>
      <c r="D82" s="6"/>
      <c r="E82" s="7"/>
      <c r="F82" s="4"/>
      <c r="G82" s="16"/>
      <c r="H82" s="4"/>
      <c r="I82" s="9"/>
    </row>
    <row r="83" spans="2:9" ht="14.25" x14ac:dyDescent="0.3">
      <c r="B83" s="4"/>
      <c r="C83" s="15"/>
      <c r="D83" s="6"/>
      <c r="E83" s="7"/>
      <c r="F83" s="4"/>
      <c r="G83" s="16"/>
      <c r="H83" s="4"/>
      <c r="I83" s="9"/>
    </row>
    <row r="84" spans="2:9" ht="14.25" x14ac:dyDescent="0.3">
      <c r="B84" s="4"/>
      <c r="C84" s="15"/>
      <c r="D84" s="6"/>
      <c r="E84" s="7"/>
      <c r="F84" s="4"/>
      <c r="G84" s="16"/>
      <c r="H84" s="4"/>
      <c r="I84" s="9"/>
    </row>
    <row r="85" spans="2:9" ht="14.25" x14ac:dyDescent="0.3">
      <c r="B85" s="4"/>
      <c r="C85" s="15"/>
      <c r="D85" s="6"/>
      <c r="E85" s="7"/>
      <c r="F85" s="4"/>
      <c r="G85" s="16"/>
      <c r="H85" s="4"/>
      <c r="I85" s="9"/>
    </row>
    <row r="86" spans="2:9" ht="14.25" x14ac:dyDescent="0.3">
      <c r="B86" s="4"/>
      <c r="C86" s="15"/>
      <c r="D86" s="6"/>
      <c r="E86" s="7"/>
      <c r="F86" s="4"/>
      <c r="G86" s="16"/>
      <c r="H86" s="4"/>
      <c r="I86" s="9"/>
    </row>
    <row r="87" spans="2:9" ht="14.25" x14ac:dyDescent="0.3">
      <c r="B87" s="4"/>
      <c r="C87" s="15"/>
      <c r="D87" s="6"/>
      <c r="E87" s="7"/>
      <c r="F87" s="4"/>
      <c r="G87" s="16"/>
      <c r="H87" s="4"/>
      <c r="I87" s="9"/>
    </row>
    <row r="88" spans="2:9" ht="14.25" x14ac:dyDescent="0.3">
      <c r="B88" s="4"/>
      <c r="C88" s="15"/>
      <c r="D88" s="6"/>
      <c r="E88" s="7"/>
      <c r="F88" s="4"/>
      <c r="G88" s="16"/>
      <c r="H88" s="4"/>
      <c r="I88" s="9"/>
    </row>
    <row r="89" spans="2:9" ht="14.25" x14ac:dyDescent="0.3">
      <c r="B89" s="4"/>
      <c r="C89" s="15"/>
      <c r="D89" s="6"/>
      <c r="E89" s="7"/>
      <c r="F89" s="4"/>
      <c r="G89" s="16"/>
      <c r="H89" s="4"/>
      <c r="I89" s="9"/>
    </row>
    <row r="90" spans="2:9" ht="14.25" x14ac:dyDescent="0.3">
      <c r="B90" s="4"/>
      <c r="C90" s="15"/>
      <c r="D90" s="6"/>
      <c r="E90" s="7"/>
      <c r="F90" s="4"/>
      <c r="G90" s="16"/>
      <c r="H90" s="4"/>
      <c r="I90" s="9"/>
    </row>
    <row r="91" spans="2:9" ht="14.25" x14ac:dyDescent="0.3">
      <c r="B91" s="4"/>
      <c r="C91" s="15"/>
      <c r="D91" s="6"/>
      <c r="E91" s="7"/>
      <c r="F91" s="4"/>
      <c r="G91" s="16"/>
      <c r="H91" s="4"/>
      <c r="I91" s="9"/>
    </row>
    <row r="92" spans="2:9" ht="14.25" x14ac:dyDescent="0.3">
      <c r="B92" s="4"/>
      <c r="C92" s="15"/>
      <c r="D92" s="6"/>
      <c r="E92" s="7"/>
      <c r="F92" s="4"/>
      <c r="G92" s="16"/>
      <c r="H92" s="4"/>
      <c r="I92" s="9"/>
    </row>
    <row r="93" spans="2:9" ht="14.25" x14ac:dyDescent="0.3">
      <c r="B93" s="4"/>
      <c r="C93" s="15"/>
      <c r="D93" s="6"/>
      <c r="E93" s="7"/>
      <c r="F93" s="4"/>
      <c r="G93" s="16"/>
      <c r="H93" s="4"/>
      <c r="I93" s="9"/>
    </row>
    <row r="94" spans="2:9" ht="14.25" x14ac:dyDescent="0.3">
      <c r="B94" s="4"/>
      <c r="C94" s="15"/>
      <c r="D94" s="6"/>
      <c r="E94" s="7"/>
      <c r="F94" s="4"/>
      <c r="G94" s="16"/>
      <c r="H94" s="4"/>
      <c r="I94" s="9"/>
    </row>
    <row r="95" spans="2:9" ht="14.25" x14ac:dyDescent="0.3">
      <c r="B95" s="4"/>
      <c r="C95" s="15"/>
      <c r="D95" s="6"/>
      <c r="E95" s="7"/>
      <c r="F95" s="4"/>
      <c r="G95" s="16"/>
      <c r="H95" s="4"/>
      <c r="I95" s="9"/>
    </row>
  </sheetData>
  <phoneticPr fontId="1" type="noConversion"/>
  <dataValidations count="2">
    <dataValidation type="list" allowBlank="1" showInputMessage="1" showErrorMessage="1" sqref="G19:G44 G14 F19:F21 F15:G18 F5:G6 F11:G13 G3:G4 G7:G10" xr:uid="{C33EBF1A-01EE-4025-AC86-A1C0188055CF}">
      <formula1>"是,否"</formula1>
    </dataValidation>
    <dataValidation type="list" allowBlank="1" showInputMessage="1" showErrorMessage="1" sqref="H5:H6 H8:H95" xr:uid="{FDF80561-9B60-4190-89D5-2B6036B817A5}">
      <formula1>"新增,删除"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表清单</vt:lpstr>
      <vt:lpstr>1.0基础数据表结构</vt:lpstr>
      <vt:lpstr>2.0索引(MySql)</vt:lpstr>
      <vt:lpstr>2.1索引(PG)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2025-05-18T05:42:07Z</dcterms:modified>
</cp:coreProperties>
</file>